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4"/>
    <sheet state="visible" name="Assumptions" sheetId="2" r:id="rId5"/>
    <sheet state="visible" name="Historical P&amp;L" sheetId="3" r:id="rId6"/>
    <sheet state="visible" name="2026 Monthly P&amp;L" sheetId="4" r:id="rId7"/>
    <sheet state="visible" name="Projections" sheetId="5" r:id="rId8"/>
    <sheet state="visible" name="Bootstrapped" sheetId="6" r:id="rId9"/>
    <sheet state="visible" name="Valuation &amp; Exit" sheetId="7" r:id="rId10"/>
  </sheets>
  <definedNames/>
  <calcPr/>
  <extLst>
    <ext uri="GoogleSheetsCustomDataVersion2">
      <go:sheetsCustomData xmlns:go="http://customooxmlschemas.google.com/" r:id="rId11" roundtripDataChecksum="FAav+UklUg7cTGmskAPlr3LspfeskDeHGO6jCOZ7TOE="/>
    </ext>
  </extLst>
</workbook>
</file>

<file path=xl/sharedStrings.xml><?xml version="1.0" encoding="utf-8"?>
<sst xmlns="http://schemas.openxmlformats.org/spreadsheetml/2006/main" count="503" uniqueCount="380">
  <si>
    <t>SENGO FINANCIAL DASHBOARD</t>
  </si>
  <si>
    <t>Summary view — all cells driven by model</t>
  </si>
  <si>
    <t>2025</t>
  </si>
  <si>
    <t>2026</t>
  </si>
  <si>
    <t>2027</t>
  </si>
  <si>
    <t>2028</t>
  </si>
  <si>
    <t>Total Revenue</t>
  </si>
  <si>
    <t>Revenue Growth %</t>
  </si>
  <si>
    <t>Gross Profit</t>
  </si>
  <si>
    <t>Gross Margin</t>
  </si>
  <si>
    <t>Operating Income</t>
  </si>
  <si>
    <t>Operating Margin</t>
  </si>
  <si>
    <t>Debt Service</t>
  </si>
  <si>
    <t>Net Income</t>
  </si>
  <si>
    <t>Cash Position</t>
  </si>
  <si>
    <t>SaaS Subscribers</t>
  </si>
  <si>
    <t>Coaching Clients</t>
  </si>
  <si>
    <t>Email Subscribers</t>
  </si>
  <si>
    <t>LTV:CAC</t>
  </si>
  <si>
    <t>Implied Valuation (8x Rev)</t>
  </si>
  <si>
    <t>FUNDRAISE SCENARIO</t>
  </si>
  <si>
    <t>Change blue cells below — model updates automatically</t>
  </si>
  <si>
    <t>SAFE Investment Amount</t>
  </si>
  <si>
    <t>Portion of raise structured as SAFE</t>
  </si>
  <si>
    <t>RBF Investment Amount</t>
  </si>
  <si>
    <t>Portion structured as revenue-based financing</t>
  </si>
  <si>
    <t>CDFI Loan Amount</t>
  </si>
  <si>
    <t>Portion structured as CDFI loan</t>
  </si>
  <si>
    <t>Total Raise</t>
  </si>
  <si>
    <t>SAFE + RBF + CDFI</t>
  </si>
  <si>
    <t>RBF Revenue Share %</t>
  </si>
  <si>
    <t>Typical 3-8% of monthly revenue</t>
  </si>
  <si>
    <t>RBF Repayment Cap (multiple)</t>
  </si>
  <si>
    <t>Max repayment = investment x cap</t>
  </si>
  <si>
    <t>CDFI Interest Rate</t>
  </si>
  <si>
    <t>CDFI rates typically 4-8%</t>
  </si>
  <si>
    <t>CDFI Loan Term (years)</t>
  </si>
  <si>
    <t>Typical 3-7 year term</t>
  </si>
  <si>
    <t>SAFE Valuation Cap</t>
  </si>
  <si>
    <t>Pre-money cap on SAFE note</t>
  </si>
  <si>
    <t>SAFE Equity Dilution</t>
  </si>
  <si>
    <t>RBF Max Repayment</t>
  </si>
  <si>
    <t>CDFI Annual Payment (PMT)</t>
  </si>
  <si>
    <t>Annual Debt Service (2026 est.)</t>
  </si>
  <si>
    <t>Founder Ownership Retained</t>
  </si>
  <si>
    <t>HOW TO REVIEW THIS MODEL</t>
  </si>
  <si>
    <t>1. Start here on the Dashboard</t>
  </si>
  <si>
    <t>This tab summarizes the full model. Scroll down to adjust the fundraise scenario.</t>
  </si>
  <si>
    <t>2. Adjust the fundraise mix above</t>
  </si>
  <si>
    <t>Change SAFE, RBF, and CDFI amounts in the blue cells (rows 23-25). Change the valuation cap (row 32). All downstream tabs update automatically: debt service, valuations, cash position, and net income.</t>
  </si>
  <si>
    <t>3. Review the Assumptions tab</t>
  </si>
  <si>
    <t>All revenue projections, expense budgets, and growth targets are here. Blue cells are editable. Expand collapsed rows (+) to see product-level and role-level detail.</t>
  </si>
  <si>
    <t>4. Check the 2026 Monthly P&amp;L</t>
  </si>
  <si>
    <t>January and February are QuickBooks actuals (blue columns). March onward is budget (yellow columns). This is your real-time pulse on how 2026 is tracking.</t>
  </si>
  <si>
    <t>5. Review the Projections tab</t>
  </si>
  <si>
    <t>3-year P&amp;L pulling from Assumptions. Includes a Debt Service section (RBF + CDFI payments) between Operating Income and Net Income. Cash Position includes the pre-seed raise.</t>
  </si>
  <si>
    <t>6. Compare Bootstrapped scenario</t>
  </si>
  <si>
    <t>Shows what growth looks like without raising. Always profitable but slower. Side-by-side comparison to the funded scenario at the bottom.</t>
  </si>
  <si>
    <t>7. Explore Valuation &amp; Exit</t>
  </si>
  <si>
    <t>Revenue and income multiples, three SAFE cap scenarios (including your target cap from row 32), full RBF repayment schedule, CDFI amortization, and combined fund structure. All driven by the inputs you set on this Dashboard.</t>
  </si>
  <si>
    <t>TIP</t>
  </si>
  <si>
    <t>Try different SAFE/RBF/CDFI splits and valuation caps above — watch how Net Income, Cash Position, dilution, and Valuation change across the model. The debt service flows through Projections into the Valuation tab.</t>
  </si>
  <si>
    <t>SENGO FINANCIAL MODEL</t>
  </si>
  <si>
    <t>Assumptions &amp; Inputs</t>
  </si>
  <si>
    <t>Blue = editable  |  Expand rows for product/role detail</t>
  </si>
  <si>
    <t>2025 (Actual)</t>
  </si>
  <si>
    <t>2026 (Proj)</t>
  </si>
  <si>
    <t>2027 (Proj)</t>
  </si>
  <si>
    <t>2028 (Proj)</t>
  </si>
  <si>
    <t>Notes / Source</t>
  </si>
  <si>
    <t>REVENUE ASSUMPTIONS</t>
  </si>
  <si>
    <t>SaaS Annual Revenue</t>
  </si>
  <si>
    <t>Sum of 4 tier revenues below</t>
  </si>
  <si>
    <t xml:space="preserve">    Legacy Subscribers ($7/mo)</t>
  </si>
  <si>
    <t>Original tier; 13 current (Mar '26). Phased out after 2026</t>
  </si>
  <si>
    <t xml:space="preserve">    Legacy Annual Revenue</t>
  </si>
  <si>
    <t xml:space="preserve">    Investor Subscribers ($10/mo)</t>
  </si>
  <si>
    <t>4 current (Mar '26); curated deal flow</t>
  </si>
  <si>
    <t xml:space="preserve">    Investor Annual Revenue</t>
  </si>
  <si>
    <t xml:space="preserve">    Founder Subscribers ($15/mo)</t>
  </si>
  <si>
    <t>112 current (Mar '26); primary growth tier</t>
  </si>
  <si>
    <t xml:space="preserve">    Founder Annual Revenue</t>
  </si>
  <si>
    <t xml:space="preserve">    All Access Subscribers ($25/mo)</t>
  </si>
  <si>
    <t>3 current (Mar '26); full platform access</t>
  </si>
  <si>
    <t xml:space="preserve">    All Access Annual Revenue</t>
  </si>
  <si>
    <t>Coaching Annual Revenue</t>
  </si>
  <si>
    <t>Sum of tier revenues + deferred payouts</t>
  </si>
  <si>
    <t xml:space="preserve">    Legacy Clients ($500/mo)</t>
  </si>
  <si>
    <t>Phasing out legacy tier</t>
  </si>
  <si>
    <t xml:space="preserve">    Foundation Clients ($1,000/mo)</t>
  </si>
  <si>
    <t>Deferred payment plans available; $500/mo til first check</t>
  </si>
  <si>
    <t xml:space="preserve">    Foundation Annual Revenue</t>
  </si>
  <si>
    <t xml:space="preserve">    Accelerator Clients ($2,000/mo)</t>
  </si>
  <si>
    <t>Deferred payment plans available</t>
  </si>
  <si>
    <t xml:space="preserve">    Accelerator Annual Revenue</t>
  </si>
  <si>
    <t xml:space="preserve">    Deferred Coaching Payouts</t>
  </si>
  <si>
    <t>$10K March 2026 payout from deferred client payments</t>
  </si>
  <si>
    <t>Events &amp; Sales Revenue</t>
  </si>
  <si>
    <t>2025 actual from P&amp;L; 2026+ sum of events below</t>
  </si>
  <si>
    <t xml:space="preserve">    FxF NYC (Feb)</t>
  </si>
  <si>
    <t>Vendor fees + brand rev (gross)</t>
  </si>
  <si>
    <t xml:space="preserve">    NY Tech Week (June)</t>
  </si>
  <si>
    <t>Major NYC event</t>
  </si>
  <si>
    <t xml:space="preserve">    FxF LA (June)</t>
  </si>
  <si>
    <t xml:space="preserve">    FxF NYC (Sept)</t>
  </si>
  <si>
    <t xml:space="preserve">    FxF LA (Nov)</t>
  </si>
  <si>
    <t xml:space="preserve">    Other In-Person (3 TBD)</t>
  </si>
  <si>
    <t>~$7K avg per event</t>
  </si>
  <si>
    <t xml:space="preserve">    Virtual Events</t>
  </si>
  <si>
    <t>Workshops, webinars, panels</t>
  </si>
  <si>
    <t>B2B / Sponsorship Revenue</t>
  </si>
  <si>
    <t>Sum of sponsorship tiers; see 2026 Monthly P&amp;L for actuals</t>
  </si>
  <si>
    <t xml:space="preserve">    Event Partners ($10K-$25K)</t>
  </si>
  <si>
    <t>Brand awareness, speaking opps, attendee access</t>
  </si>
  <si>
    <t xml:space="preserve">    Media Partners ($2K-$5K)</t>
  </si>
  <si>
    <t>Newsletter placements, content collabs, touchpoints</t>
  </si>
  <si>
    <t xml:space="preserve">    Platform Partners ($10K-$50K)</t>
  </si>
  <si>
    <t>Dealflow access, priority founder intros</t>
  </si>
  <si>
    <t xml:space="preserve">    Ecosystem Partners ($75K+)</t>
  </si>
  <si>
    <t>Multi-channel, co-created programming</t>
  </si>
  <si>
    <t>Grant Revenue</t>
  </si>
  <si>
    <t>Declining as recurring revenue grows</t>
  </si>
  <si>
    <t>Services &amp; Consulting</t>
  </si>
  <si>
    <t>2025 only (IBC parent co); phased out</t>
  </si>
  <si>
    <t>COST ASSUMPTIONS</t>
  </si>
  <si>
    <t>COGS % of Revenue</t>
  </si>
  <si>
    <t>Source: P&amp;L 2025 (9.3% actual)</t>
  </si>
  <si>
    <t>OPERATING EXPENSE DETAIL</t>
  </si>
  <si>
    <t>Payroll &amp; Salaries</t>
  </si>
  <si>
    <t>Sum of roles below</t>
  </si>
  <si>
    <t xml:space="preserve">    Founder / CEO (Ila)</t>
  </si>
  <si>
    <t>Current; salary begins 2026</t>
  </si>
  <si>
    <t xml:space="preserve">    Engineering Lead</t>
  </si>
  <si>
    <t>Hire Q2 2026; platform build</t>
  </si>
  <si>
    <t xml:space="preserve">    Sales / BD Lead</t>
  </si>
  <si>
    <t>Hire Q3 2026; partnerships + coaching sales</t>
  </si>
  <si>
    <t xml:space="preserve">    Marketing Manager</t>
  </si>
  <si>
    <t>Hire 2027; content, social, campaigns</t>
  </si>
  <si>
    <t xml:space="preserve">    Operations / Support</t>
  </si>
  <si>
    <t>Hire 2028; admin, customer success</t>
  </si>
  <si>
    <t>Contract Labor</t>
  </si>
  <si>
    <t>Design, dev, content contractors</t>
  </si>
  <si>
    <t>Event Production &amp; Pass-Through</t>
  </si>
  <si>
    <t>Venue, production, brand pass-through (95%), cohost splits</t>
  </si>
  <si>
    <t>General Business Expenses</t>
  </si>
  <si>
    <t>Source: P&amp;L 2025 (less event costs)</t>
  </si>
  <si>
    <t>Software &amp; Apps</t>
  </si>
  <si>
    <t>Platform hosting, tools, APIs</t>
  </si>
  <si>
    <t>Sales &amp; Marketing</t>
  </si>
  <si>
    <t>Sum of marketing channels below</t>
  </si>
  <si>
    <t xml:space="preserve">    Conferences &amp; Speaking</t>
  </si>
  <si>
    <t>Event booths, sponsorships, speaker travel</t>
  </si>
  <si>
    <t xml:space="preserve">    Social Media &amp; Content</t>
  </si>
  <si>
    <t>Content creation, social mgmt, video</t>
  </si>
  <si>
    <t xml:space="preserve">    Paid Ads (Digital)</t>
  </si>
  <si>
    <t>Meta, Google, LinkedIn campaigns</t>
  </si>
  <si>
    <t xml:space="preserve">    PR &amp; Brand Campaigns</t>
  </si>
  <si>
    <t>Press, influencer partnerships, brand</t>
  </si>
  <si>
    <t xml:space="preserve">    Grant Deployment</t>
  </si>
  <si>
    <t>Micro-grants to founders in community</t>
  </si>
  <si>
    <t>Legal &amp; Accounting</t>
  </si>
  <si>
    <t>Compliance, Reg CF/D advisory</t>
  </si>
  <si>
    <t>Travel &amp; Meals</t>
  </si>
  <si>
    <t>Events, conferences, BD travel</t>
  </si>
  <si>
    <t>Benefits &amp; Insurance</t>
  </si>
  <si>
    <t>Team benefits as headcount grows</t>
  </si>
  <si>
    <t>Grant Expenses (to founders)</t>
  </si>
  <si>
    <t>Micro-grants program</t>
  </si>
  <si>
    <t>Other Operating Expenses</t>
  </si>
  <si>
    <t>Prof. fees, supplies, taxes, misc</t>
  </si>
  <si>
    <t>Total Operating Expenses</t>
  </si>
  <si>
    <t>FUNDRAISE &amp; CASH FLOW</t>
  </si>
  <si>
    <t>Pre-Seed Investment</t>
  </si>
  <si>
    <t>SAFE + RBF + CDFI — driven by Dashboard</t>
  </si>
  <si>
    <t>Starting Cash Balance</t>
  </si>
  <si>
    <t>Prior year ending cash</t>
  </si>
  <si>
    <t>GROWTH &amp; KPI TARGETS</t>
  </si>
  <si>
    <t>Total SaaS Subscribers (EOY)</t>
  </si>
  <si>
    <t>Sum of all 4 SaaS tiers</t>
  </si>
  <si>
    <t>Total Coaching Clients (EOY)</t>
  </si>
  <si>
    <t>Email → Paid Conversion Rate</t>
  </si>
  <si>
    <t>CAC (Blended)</t>
  </si>
  <si>
    <t>Monthly Churn Rate</t>
  </si>
  <si>
    <t>LTV (est. @ avg tier)</t>
  </si>
  <si>
    <t>LTV:CAC Ratio</t>
  </si>
  <si>
    <t>HISTORICAL PROFIT &amp; LOSS</t>
  </si>
  <si>
    <t>IBC Real Estate and Advising INC (dba Sengo)</t>
  </si>
  <si>
    <t>2024 (Actual)</t>
  </si>
  <si>
    <t>YoY Growth</t>
  </si>
  <si>
    <t>Source</t>
  </si>
  <si>
    <t>REVENUE</t>
  </si>
  <si>
    <t>Events Income</t>
  </si>
  <si>
    <t>Source: P&amp;L</t>
  </si>
  <si>
    <t>Sales &amp; Client Reimbursements</t>
  </si>
  <si>
    <t>SaaS Subscriptions</t>
  </si>
  <si>
    <t>Coaching</t>
  </si>
  <si>
    <t>Grants</t>
  </si>
  <si>
    <t>COST OF GOODS SOLD</t>
  </si>
  <si>
    <t>COGS</t>
  </si>
  <si>
    <t>PROFITABILITY</t>
  </si>
  <si>
    <t>OpEx % of Revenue</t>
  </si>
  <si>
    <t>Net Operating Income</t>
  </si>
  <si>
    <t>Other Expenses</t>
  </si>
  <si>
    <t>BOTTOM LINE</t>
  </si>
  <si>
    <t>Net Margin</t>
  </si>
  <si>
    <t>2026 MONTHLY P&amp;L</t>
  </si>
  <si>
    <t>Actuals (blue) vs Budget (yellow) — updated March 2026</t>
  </si>
  <si>
    <t>Jan</t>
  </si>
  <si>
    <t>Feb</t>
  </si>
  <si>
    <t>Mar</t>
  </si>
  <si>
    <t>Apr</t>
  </si>
  <si>
    <t>May</t>
  </si>
  <si>
    <t>Jun</t>
  </si>
  <si>
    <t>Jul</t>
  </si>
  <si>
    <t>Aug</t>
  </si>
  <si>
    <t>Sep</t>
  </si>
  <si>
    <t>Oct</t>
  </si>
  <si>
    <t>Nov</t>
  </si>
  <si>
    <t>Dec</t>
  </si>
  <si>
    <t>YTD Actual</t>
  </si>
  <si>
    <t>2026 Budget</t>
  </si>
  <si>
    <t>Coaching Programs</t>
  </si>
  <si>
    <t>Events &amp; Sales</t>
  </si>
  <si>
    <t>B2B / Sponsorships</t>
  </si>
  <si>
    <t>COGS (~10%)</t>
  </si>
  <si>
    <t>OPERATING EXPENSES</t>
  </si>
  <si>
    <t>Bank Fees &amp; Other</t>
  </si>
  <si>
    <t>CASH FLOW</t>
  </si>
  <si>
    <t>Monthly Cash Flow</t>
  </si>
  <si>
    <t>Cumulative Cash Position</t>
  </si>
  <si>
    <t>NOTES</t>
  </si>
  <si>
    <t>Blue = actuals (QB P&amp;L totals). Yellow = budget months are formula-driven from Assumptions sheet.</t>
  </si>
  <si>
    <t>Jan/Feb Total Revenue &amp; Total OpEx match QuickBooks P&amp;L exactly.</t>
  </si>
  <si>
    <t>Mar coaching includes $10K deferred payout. Apr B2B includes $5,540 confirmed partnership.</t>
  </si>
  <si>
    <t>FxF NYC vendor payments collected Dec/Jan; shown in Events when received per QB.</t>
  </si>
  <si>
    <t>Payroll ramps post-raise: Eng Lead (Q2), Sales/BD Lead (Q3).</t>
  </si>
  <si>
    <t>ACTUALS vs. PROJECTIONS</t>
  </si>
  <si>
    <t>Jan actual revenue of $9,844 exceeded monthly run-rate target ($27.4K/12 ann. avg is misleading</t>
  </si>
  <si>
    <t xml:space="preserve">  — given back-loaded revenue ramp). Jan is a strong baseline month: 5 active revenue streams.</t>
  </si>
  <si>
    <t>Jan OpEx of $4,599 (pre-hire) yielded ~$4,261 net operating income — rare for a pre-seed company.</t>
  </si>
  <si>
    <t>Feb revenue of $9,300 showed consistency with Jan, maintaining $1,886 MRR base.</t>
  </si>
  <si>
    <t>Feb OpEx of $8,495 included FxF NYC event costs — net income near breakeven (~-$125).</t>
  </si>
  <si>
    <t>Q1 YTD (Jan+Feb): $19,144 revenue, $13,094 OpEx. Two profitable months in first full operating quarter.</t>
  </si>
  <si>
    <t>Key takeaway: Revenue is real, recurring, and diversified. OpEx is disciplined. Pre-raise burn is minimal.</t>
  </si>
  <si>
    <t>3-YEAR PROJECTED P&amp;L</t>
  </si>
  <si>
    <t>All projections driven by Assumptions sheet</t>
  </si>
  <si>
    <t xml:space="preserve">    Legacy ($7/mo)</t>
  </si>
  <si>
    <t xml:space="preserve">    Investor ($10/mo)</t>
  </si>
  <si>
    <t xml:space="preserve">    Founder ($15/mo)</t>
  </si>
  <si>
    <t xml:space="preserve">    All Access ($25/mo)</t>
  </si>
  <si>
    <t xml:space="preserve">    Legacy ($500/mo)</t>
  </si>
  <si>
    <t xml:space="preserve">    Foundation ($1,000/mo)</t>
  </si>
  <si>
    <t xml:space="preserve">    Accelerator ($2,000/mo)</t>
  </si>
  <si>
    <t>Operating Expenses</t>
  </si>
  <si>
    <t>DEBT SERVICE</t>
  </si>
  <si>
    <t>RBF Revenue Share Payment</t>
  </si>
  <si>
    <t>Revenue x share %, capped at max repayment</t>
  </si>
  <si>
    <t>CDFI Loan Payment</t>
  </si>
  <si>
    <t>Fixed annual PMT from CDFI loan</t>
  </si>
  <si>
    <t>Total Debt Service</t>
  </si>
  <si>
    <t>Cash Position (EOY)</t>
  </si>
  <si>
    <t>KEY METRICS</t>
  </si>
  <si>
    <t>Total SaaS Subscribers</t>
  </si>
  <si>
    <t>Total Coaching Clients</t>
  </si>
  <si>
    <t>Revenue per Employee (est.)</t>
  </si>
  <si>
    <t>BOOTSTRAPPED SCENARIO</t>
  </si>
  <si>
    <t>No external funding — organic growth, stay profitable</t>
  </si>
  <si>
    <t>Compare to Funded Projections tab</t>
  </si>
  <si>
    <t>Notes</t>
  </si>
  <si>
    <t>REVENUE (Organic Growth)</t>
  </si>
  <si>
    <t>Organic growth only; no paid acq budget</t>
  </si>
  <si>
    <t>Word of mouth; slower pipeline</t>
  </si>
  <si>
    <t>Fewer events; no cohost splits needed</t>
  </si>
  <si>
    <t>Organic BD; fewer partner tiers</t>
  </si>
  <si>
    <t>Continued grant pursuit</t>
  </si>
  <si>
    <t>Wind down slowly to fund transition</t>
  </si>
  <si>
    <t>EXPENSES (Lean Operations)</t>
  </si>
  <si>
    <t>COGS (9-10%)</t>
  </si>
  <si>
    <t>Founder Salary (Ila)</t>
  </si>
  <si>
    <t>Modest salary; grows with revenue</t>
  </si>
  <si>
    <t>Part-Time Contractor</t>
  </si>
  <si>
    <t>Dev/design help as needed</t>
  </si>
  <si>
    <t>Fewer events, same cost structure</t>
  </si>
  <si>
    <t>General Business</t>
  </si>
  <si>
    <t>Lean overhead</t>
  </si>
  <si>
    <t>Essential tools only</t>
  </si>
  <si>
    <t>Marketing (Organic Focus)</t>
  </si>
  <si>
    <t>Social, content, community — no paid ads</t>
  </si>
  <si>
    <t>Basic compliance</t>
  </si>
  <si>
    <t>Essential event travel only</t>
  </si>
  <si>
    <t>Personal coverage</t>
  </si>
  <si>
    <t>Grant Expenses</t>
  </si>
  <si>
    <t>Other</t>
  </si>
  <si>
    <t>Miscellaneous</t>
  </si>
  <si>
    <t>COMPARISON: BOOTSTRAPPED vs FUNDED</t>
  </si>
  <si>
    <t>Funded Total Revenue</t>
  </si>
  <si>
    <t>Bootstrapped Total Revenue</t>
  </si>
  <si>
    <t>Revenue Difference</t>
  </si>
  <si>
    <t>Funded Operating Income</t>
  </si>
  <si>
    <t>Bootstrapped Operating Income</t>
  </si>
  <si>
    <t>Funded Cash (EOY)</t>
  </si>
  <si>
    <t>Bootstrapped Cash (EOY)</t>
  </si>
  <si>
    <t>KEY TAKEAWAY</t>
  </si>
  <si>
    <t>Bootstrapped = always profitable but slower growth. Funded = faster path to $1.8M but requires $500K raise and accepting a 2026 operating loss.</t>
  </si>
  <si>
    <t>VALUATION &amp; EXIT ANALYSIS</t>
  </si>
  <si>
    <t>Scenario modeling for SAFE, RBF, and CDFI fund structures</t>
  </si>
  <si>
    <t>2025–2028 from Projections tab; 2029–2031 extrapolated at editable growth rate</t>
  </si>
  <si>
    <t>2029</t>
  </si>
  <si>
    <t>2030</t>
  </si>
  <si>
    <t>2031</t>
  </si>
  <si>
    <t>REVENUE-BASED VALUATION</t>
  </si>
  <si>
    <t>2029-2031 extrapolated at growth rate below</t>
  </si>
  <si>
    <t>2029-2031 assume 2028 net margin holds</t>
  </si>
  <si>
    <t>Revenue Growth Rate</t>
  </si>
  <si>
    <t>Post-2028 Growth Rate (editable)</t>
  </si>
  <si>
    <t>Change this to adjust 2029-2031 projections</t>
  </si>
  <si>
    <t>IMPLIED VALUATION (Revenue Multiple)</t>
  </si>
  <si>
    <t>Conservative (5x Revenue)</t>
  </si>
  <si>
    <t>Revenue x 5</t>
  </si>
  <si>
    <t>Moderate (8x Revenue)</t>
  </si>
  <si>
    <t>Revenue x 8</t>
  </si>
  <si>
    <t>Aggressive (12x Revenue)</t>
  </si>
  <si>
    <t>Revenue x 12</t>
  </si>
  <si>
    <t>High-Growth (15x Revenue)</t>
  </si>
  <si>
    <t>Revenue x 15</t>
  </si>
  <si>
    <t>IMPLIED VALUATION (Net Income Multiple)</t>
  </si>
  <si>
    <t>Conservative (10x Net Income)</t>
  </si>
  <si>
    <t>Net income x 10 (if profitable)</t>
  </si>
  <si>
    <t>Moderate (15x Net Income)</t>
  </si>
  <si>
    <t>Net income x 15 (if profitable)</t>
  </si>
  <si>
    <t>Aggressive (25x Net Income)</t>
  </si>
  <si>
    <t>Net income x 25 (if profitable)</t>
  </si>
  <si>
    <t>SAFE INVESTOR SCENARIOS</t>
  </si>
  <si>
    <t>Driven by Dashboard fundraise inputs</t>
  </si>
  <si>
    <t>Scenario A: $3M Valuation Cap</t>
  </si>
  <si>
    <t>Fixed $3M cap (conservative)</t>
  </si>
  <si>
    <t xml:space="preserve">    Equity Ownership %</t>
  </si>
  <si>
    <t>Investment / cap</t>
  </si>
  <si>
    <t xml:space="preserve">    Payout at Moderate Exit (8x)</t>
  </si>
  <si>
    <t>Equity % x 8x revenue valuation</t>
  </si>
  <si>
    <t xml:space="preserve">    Payout at Aggressive Exit (12x)</t>
  </si>
  <si>
    <t>Equity % x 12x revenue valuation</t>
  </si>
  <si>
    <t xml:space="preserve">    Investor ROI (Moderate Exit)</t>
  </si>
  <si>
    <t>Payout / investment</t>
  </si>
  <si>
    <t>Scenario B: Target Valuation Cap</t>
  </si>
  <si>
    <t>Driven by Dashboard cap input</t>
  </si>
  <si>
    <t>Scenario C: $8M Valuation Cap</t>
  </si>
  <si>
    <t>Fixed $8M cap (aggressive)</t>
  </si>
  <si>
    <t>REVENUE-BASED FINANCING (RBF)</t>
  </si>
  <si>
    <t>Revenue Share %</t>
  </si>
  <si>
    <t>Driven by Dashboard</t>
  </si>
  <si>
    <t>Repayment Cap (multiple)</t>
  </si>
  <si>
    <t>Max Repayment Amount</t>
  </si>
  <si>
    <t>Investment x cap multiple</t>
  </si>
  <si>
    <t>Annual Revenue Share Payment</t>
  </si>
  <si>
    <t>Revenue x share %</t>
  </si>
  <si>
    <t>Cumulative Payments</t>
  </si>
  <si>
    <t>Capped at max repayment</t>
  </si>
  <si>
    <t>Remaining Balance</t>
  </si>
  <si>
    <t>Max repayment minus cumulative</t>
  </si>
  <si>
    <t>Fully Repaid?</t>
  </si>
  <si>
    <t>CDFI LOAN SCENARIO</t>
  </si>
  <si>
    <t>Annual Interest Rate</t>
  </si>
  <si>
    <t>Loan Term (years)</t>
  </si>
  <si>
    <t>Annual Payment (PMT)</t>
  </si>
  <si>
    <t>Fixed annual payment</t>
  </si>
  <si>
    <t>Annual Payment Due</t>
  </si>
  <si>
    <t>5-year term: payments 2026-2030</t>
  </si>
  <si>
    <t>Total Interest Paid (over term)</t>
  </si>
  <si>
    <t>Total payments minus principal</t>
  </si>
  <si>
    <t>COMBINED FUND STRUCTURE SUMMARY</t>
  </si>
  <si>
    <t>Total Pre-Seed Raise</t>
  </si>
  <si>
    <t>From Dashboard fundraise scenario</t>
  </si>
  <si>
    <t xml:space="preserve">  SAFE Portion</t>
  </si>
  <si>
    <t xml:space="preserve">  RBF Portion</t>
  </si>
  <si>
    <t xml:space="preserve">  CDFI Portion</t>
  </si>
  <si>
    <t>Total Annual Debt Service (RBF+CDFI)</t>
  </si>
  <si>
    <t>Cash outflow for debt repayment</t>
  </si>
  <si>
    <t>Debt Service as % of Revenue</t>
  </si>
  <si>
    <t>SAFE Equity Dilution (target cap)</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</si>
</sst>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quot;-&quot;"/>
    <numFmt numFmtId="165" formatCode="0.0%;(0.0%);&quot;-&quot;"/>
    <numFmt numFmtId="166" formatCode="#,##0;(#,##0);&quot;-&quot;"/>
    <numFmt numFmtId="167" formatCode="0.0x"/>
    <numFmt numFmtId="168" formatCode="$#,##0"/>
  </numFmts>
  <fonts count="26">
    <font>
      <sz val="11.0"/>
      <color theme="1"/>
      <name val="Calibri"/>
      <scheme val="minor"/>
    </font>
    <font>
      <b/>
      <sz val="16.0"/>
      <color rgb="FF1B3533"/>
      <name val="Arimo"/>
    </font>
    <font>
      <b/>
      <sz val="11.0"/>
      <color rgb="FFD57028"/>
      <name val="Montserrat"/>
    </font>
    <font>
      <b/>
      <sz val="12.0"/>
      <color rgb="FFFFFFFF"/>
      <name val="Arimo"/>
    </font>
    <font>
      <b/>
      <sz val="11.0"/>
      <color rgb="FF000000"/>
      <name val="Helvetica Neue"/>
    </font>
    <font>
      <b/>
      <sz val="11.0"/>
      <color rgb="FF008000"/>
      <name val="Helvetica Neue"/>
    </font>
    <font>
      <sz val="11.0"/>
      <color rgb="FF000000"/>
      <name val="Helvetica Neue"/>
    </font>
    <font>
      <sz val="11.0"/>
      <color rgb="FF008000"/>
      <name val="Helvetica Neue"/>
    </font>
    <font>
      <b/>
      <sz val="12.0"/>
      <color rgb="FF1B3533"/>
      <name val="Arimo"/>
    </font>
    <font>
      <sz val="11.0"/>
      <color theme="1"/>
      <name val="Calibri"/>
    </font>
    <font>
      <i/>
      <sz val="10.0"/>
      <color rgb="FF666666"/>
      <name val="Helvetica Neue"/>
    </font>
    <font/>
    <font>
      <b/>
      <sz val="11.0"/>
      <color rgb="FF0000FF"/>
      <name val="Helvetica Neue"/>
    </font>
    <font>
      <b/>
      <sz val="11.0"/>
      <color rgb="FF1B3533"/>
      <name val="Helvetica Neue"/>
    </font>
    <font>
      <i/>
      <sz val="10.0"/>
      <color rgb="FF555555"/>
      <name val="Helvetica Neue"/>
    </font>
    <font>
      <sz val="10.0"/>
      <color rgb="FF333333"/>
      <name val="Helvetica Neue"/>
    </font>
    <font>
      <i/>
      <sz val="10.0"/>
      <color rgb="FFD57028"/>
      <name val="Helvetica Neue"/>
    </font>
    <font>
      <b/>
      <sz val="13.0"/>
      <color rgb="FFD57028"/>
      <name val="Montserrat"/>
    </font>
    <font>
      <sz val="10.0"/>
      <color rgb="FF444444"/>
      <name val="Helvetica Neue"/>
    </font>
    <font>
      <sz val="10.0"/>
      <color rgb="FF0000FF"/>
      <name val="Helvetica Neue"/>
    </font>
    <font>
      <sz val="10.0"/>
      <color rgb="FF000000"/>
      <name val="Helvetica Neue"/>
    </font>
    <font>
      <sz val="11.0"/>
      <color rgb="FF0000FF"/>
      <name val="Helvetica Neue"/>
    </font>
    <font>
      <b/>
      <sz val="10.0"/>
      <color rgb="FF000000"/>
      <name val="Helvetica Neue"/>
    </font>
    <font>
      <b/>
      <sz val="10.0"/>
      <color rgb="FF1B3533"/>
      <name val="Helvetica Neue"/>
    </font>
    <font>
      <color theme="1"/>
      <name val="Calibri"/>
      <scheme val="minor"/>
    </font>
    <font>
      <i/>
      <sz val="11.0"/>
      <color rgb="FF2E7D32"/>
      <name val="Helvetica Neue"/>
    </font>
  </fonts>
  <fills count="13">
    <fill>
      <patternFill patternType="none"/>
    </fill>
    <fill>
      <patternFill patternType="lightGray"/>
    </fill>
    <fill>
      <patternFill patternType="solid">
        <fgColor rgb="FF1B3533"/>
        <bgColor rgb="FF1B3533"/>
      </patternFill>
    </fill>
    <fill>
      <patternFill patternType="solid">
        <fgColor rgb="FFF5F5F5"/>
        <bgColor rgb="FFF5F5F5"/>
      </patternFill>
    </fill>
    <fill>
      <patternFill patternType="solid">
        <fgColor rgb="FFF3EDE7"/>
        <bgColor rgb="FFF3EDE7"/>
      </patternFill>
    </fill>
    <fill>
      <patternFill patternType="solid">
        <fgColor rgb="FFDBEEF4"/>
        <bgColor rgb="FFDBEEF4"/>
      </patternFill>
    </fill>
    <fill>
      <patternFill patternType="solid">
        <fgColor rgb="FFFFF2E5"/>
        <bgColor rgb="FFFFF2E5"/>
      </patternFill>
    </fill>
    <fill>
      <patternFill patternType="solid">
        <fgColor rgb="FFFFF8F0"/>
        <bgColor rgb="FFFFF8F0"/>
      </patternFill>
    </fill>
    <fill>
      <patternFill patternType="solid">
        <fgColor rgb="FF1565C0"/>
        <bgColor rgb="FF1565C0"/>
      </patternFill>
    </fill>
    <fill>
      <patternFill patternType="solid">
        <fgColor rgb="FFF9A825"/>
        <bgColor rgb="FFF9A825"/>
      </patternFill>
    </fill>
    <fill>
      <patternFill patternType="solid">
        <fgColor rgb="FFE8F0FE"/>
        <bgColor rgb="FFE8F0FE"/>
      </patternFill>
    </fill>
    <fill>
      <patternFill patternType="solid">
        <fgColor rgb="FFFFF8E1"/>
        <bgColor rgb="FFFFF8E1"/>
      </patternFill>
    </fill>
    <fill>
      <patternFill patternType="solid">
        <fgColor rgb="FF2E7D32"/>
        <bgColor rgb="FF2E7D32"/>
      </patternFill>
    </fill>
  </fills>
  <borders count="7">
    <border/>
    <border>
      <left style="thin">
        <color rgb="FFD4C5B0"/>
      </left>
      <right style="thin">
        <color rgb="FFD4C5B0"/>
      </right>
      <top style="thin">
        <color rgb="FFD4C5B0"/>
      </top>
      <bottom style="thin">
        <color rgb="FFD4C5B0"/>
      </bottom>
    </border>
    <border>
      <bottom style="thin">
        <color rgb="FFD4C5B0"/>
      </bottom>
    </border>
    <border>
      <left style="thin">
        <color rgb="FFD4C5B0"/>
      </left>
      <top style="thin">
        <color rgb="FFD4C5B0"/>
      </top>
      <bottom style="thin">
        <color rgb="FFD4C5B0"/>
      </bottom>
    </border>
    <border>
      <top style="thin">
        <color rgb="FFD4C5B0"/>
      </top>
      <bottom style="thin">
        <color rgb="FFD4C5B0"/>
      </bottom>
    </border>
    <border>
      <right style="thin">
        <color rgb="FFD4C5B0"/>
      </right>
      <top style="thin">
        <color rgb="FFD4C5B0"/>
      </top>
      <bottom style="thin">
        <color rgb="FFD4C5B0"/>
      </bottom>
    </border>
    <border>
      <left/>
      <right/>
      <top/>
      <bottom/>
    </border>
  </borders>
  <cellStyleXfs count="1">
    <xf borderId="0" fillId="0" fontId="0" numFmtId="0" applyAlignment="1" applyFont="1"/>
  </cellStyleXfs>
  <cellXfs count="97">
    <xf borderId="0" fillId="0" fontId="0" numFmtId="0" xfId="0" applyAlignment="1" applyFont="1">
      <alignment readingOrder="0" shrinkToFit="0" vertical="bottom" wrapText="0"/>
    </xf>
    <xf borderId="0" fillId="0" fontId="1" numFmtId="0" xfId="0" applyFont="1"/>
    <xf borderId="0" fillId="0" fontId="2" numFmtId="0" xfId="0" applyFont="1"/>
    <xf borderId="1" fillId="2" fontId="3" numFmtId="0" xfId="0" applyAlignment="1" applyBorder="1" applyFill="1" applyFont="1">
      <alignment horizontal="center" shrinkToFit="0" wrapText="1"/>
    </xf>
    <xf borderId="1" fillId="0" fontId="4" numFmtId="0" xfId="0" applyBorder="1" applyFont="1"/>
    <xf borderId="1" fillId="0" fontId="5" numFmtId="164" xfId="0" applyAlignment="1" applyBorder="1" applyFont="1" applyNumberFormat="1">
      <alignment horizontal="right"/>
    </xf>
    <xf borderId="1" fillId="3" fontId="6" numFmtId="0" xfId="0" applyBorder="1" applyFill="1" applyFont="1"/>
    <xf borderId="1" fillId="3" fontId="7" numFmtId="165" xfId="0" applyAlignment="1" applyBorder="1" applyFont="1" applyNumberFormat="1">
      <alignment horizontal="right"/>
    </xf>
    <xf borderId="1" fillId="0" fontId="6" numFmtId="0" xfId="0" applyBorder="1" applyFont="1"/>
    <xf borderId="1" fillId="0" fontId="7" numFmtId="164" xfId="0" applyAlignment="1" applyBorder="1" applyFont="1" applyNumberFormat="1">
      <alignment horizontal="right"/>
    </xf>
    <xf borderId="1" fillId="3" fontId="4" numFmtId="0" xfId="0" applyBorder="1" applyFont="1"/>
    <xf borderId="1" fillId="3" fontId="5" numFmtId="164" xfId="0" applyAlignment="1" applyBorder="1" applyFont="1" applyNumberFormat="1">
      <alignment horizontal="right"/>
    </xf>
    <xf borderId="1" fillId="0" fontId="7" numFmtId="166" xfId="0" applyAlignment="1" applyBorder="1" applyFont="1" applyNumberFormat="1">
      <alignment horizontal="right"/>
    </xf>
    <xf borderId="1" fillId="3" fontId="7" numFmtId="166" xfId="0" applyAlignment="1" applyBorder="1" applyFont="1" applyNumberFormat="1">
      <alignment horizontal="right"/>
    </xf>
    <xf borderId="1" fillId="3" fontId="7" numFmtId="167" xfId="0" applyAlignment="1" applyBorder="1" applyFont="1" applyNumberFormat="1">
      <alignment horizontal="right"/>
    </xf>
    <xf borderId="1" fillId="3" fontId="5" numFmtId="168" xfId="0" applyAlignment="1" applyBorder="1" applyFont="1" applyNumberFormat="1">
      <alignment horizontal="right"/>
    </xf>
    <xf borderId="2" fillId="4" fontId="8" numFmtId="0" xfId="0" applyBorder="1" applyFill="1" applyFont="1"/>
    <xf borderId="2" fillId="4" fontId="9" numFmtId="0" xfId="0" applyBorder="1" applyFont="1"/>
    <xf borderId="2" fillId="4" fontId="10" numFmtId="0" xfId="0" applyBorder="1" applyFont="1"/>
    <xf borderId="2" fillId="0" fontId="11" numFmtId="0" xfId="0" applyBorder="1" applyFont="1"/>
    <xf borderId="0" fillId="0" fontId="6" numFmtId="0" xfId="0" applyFont="1"/>
    <xf borderId="1" fillId="5" fontId="12" numFmtId="164" xfId="0" applyBorder="1" applyFill="1" applyFont="1" applyNumberFormat="1"/>
    <xf borderId="3" fillId="5" fontId="10" numFmtId="49" xfId="0" applyBorder="1" applyFont="1" applyNumberFormat="1"/>
    <xf borderId="4" fillId="0" fontId="11" numFmtId="0" xfId="0" applyBorder="1" applyFont="1"/>
    <xf borderId="5" fillId="0" fontId="11" numFmtId="0" xfId="0" applyBorder="1" applyFont="1"/>
    <xf borderId="0" fillId="0" fontId="10" numFmtId="0" xfId="0" applyFont="1"/>
    <xf borderId="0" fillId="0" fontId="4" numFmtId="0" xfId="0" applyFont="1"/>
    <xf borderId="1" fillId="6" fontId="4" numFmtId="164" xfId="0" applyBorder="1" applyFill="1" applyFont="1" applyNumberFormat="1"/>
    <xf borderId="1" fillId="5" fontId="12" numFmtId="165" xfId="0" applyBorder="1" applyFont="1" applyNumberFormat="1"/>
    <xf borderId="1" fillId="5" fontId="12" numFmtId="167" xfId="0" applyBorder="1" applyFont="1" applyNumberFormat="1"/>
    <xf borderId="1" fillId="5" fontId="12" numFmtId="166" xfId="0" applyBorder="1" applyFont="1" applyNumberFormat="1"/>
    <xf borderId="1" fillId="5" fontId="12" numFmtId="168" xfId="0" applyBorder="1" applyFont="1" applyNumberFormat="1"/>
    <xf borderId="1" fillId="6" fontId="6" numFmtId="165" xfId="0" applyBorder="1" applyFont="1" applyNumberFormat="1"/>
    <xf borderId="1" fillId="6" fontId="6" numFmtId="164" xfId="0" applyBorder="1" applyFont="1" applyNumberFormat="1"/>
    <xf borderId="1" fillId="6" fontId="5" numFmtId="165" xfId="0" applyBorder="1" applyFont="1" applyNumberFormat="1"/>
    <xf borderId="2" fillId="0" fontId="13" numFmtId="0" xfId="0" applyBorder="1" applyFont="1"/>
    <xf borderId="2" fillId="0" fontId="14" numFmtId="0" xfId="0" applyAlignment="1" applyBorder="1" applyFont="1">
      <alignment shrinkToFit="0" wrapText="1"/>
    </xf>
    <xf borderId="2" fillId="0" fontId="15" numFmtId="0" xfId="0" applyBorder="1" applyFont="1"/>
    <xf borderId="2" fillId="0" fontId="15" numFmtId="0" xfId="0" applyAlignment="1" applyBorder="1" applyFont="1">
      <alignment shrinkToFit="0" wrapText="1"/>
    </xf>
    <xf borderId="2" fillId="7" fontId="8" numFmtId="0" xfId="0" applyBorder="1" applyFill="1" applyFont="1"/>
    <xf borderId="2" fillId="7" fontId="16" numFmtId="0" xfId="0" applyAlignment="1" applyBorder="1" applyFont="1">
      <alignment shrinkToFit="0" wrapText="1"/>
    </xf>
    <xf borderId="0" fillId="0" fontId="17" numFmtId="0" xfId="0" applyFont="1"/>
    <xf borderId="1" fillId="0" fontId="4" numFmtId="164" xfId="0" applyAlignment="1" applyBorder="1" applyFont="1" applyNumberFormat="1">
      <alignment horizontal="right"/>
    </xf>
    <xf borderId="1" fillId="3" fontId="18" numFmtId="0" xfId="0" applyBorder="1" applyFont="1"/>
    <xf borderId="1" fillId="3" fontId="19" numFmtId="166" xfId="0" applyAlignment="1" applyBorder="1" applyFont="1" applyNumberFormat="1">
      <alignment horizontal="right"/>
    </xf>
    <xf borderId="1" fillId="0" fontId="18" numFmtId="0" xfId="0" applyBorder="1" applyFont="1"/>
    <xf borderId="1" fillId="0" fontId="20" numFmtId="164" xfId="0" applyAlignment="1" applyBorder="1" applyFont="1" applyNumberFormat="1">
      <alignment horizontal="right"/>
    </xf>
    <xf borderId="1" fillId="3" fontId="19" numFmtId="164" xfId="0" applyAlignment="1" applyBorder="1" applyFont="1" applyNumberFormat="1">
      <alignment horizontal="right"/>
    </xf>
    <xf borderId="1" fillId="0" fontId="19" numFmtId="164" xfId="0" applyAlignment="1" applyBorder="1" applyFont="1" applyNumberFormat="1">
      <alignment horizontal="right"/>
    </xf>
    <xf borderId="1" fillId="3" fontId="4" numFmtId="164" xfId="0" applyAlignment="1" applyBorder="1" applyFont="1" applyNumberFormat="1">
      <alignment horizontal="right"/>
    </xf>
    <xf borderId="1" fillId="3" fontId="21" numFmtId="164" xfId="0" applyAlignment="1" applyBorder="1" applyFont="1" applyNumberFormat="1">
      <alignment horizontal="right"/>
    </xf>
    <xf borderId="1" fillId="0" fontId="21" numFmtId="164" xfId="0" applyAlignment="1" applyBorder="1" applyFont="1" applyNumberFormat="1">
      <alignment horizontal="right"/>
    </xf>
    <xf borderId="1" fillId="3" fontId="21" numFmtId="165" xfId="0" applyAlignment="1" applyBorder="1" applyFont="1" applyNumberFormat="1">
      <alignment horizontal="right"/>
    </xf>
    <xf borderId="1" fillId="3" fontId="19" numFmtId="164" xfId="0" applyAlignment="1" applyBorder="1" applyFont="1" applyNumberFormat="1">
      <alignment horizontal="right" readingOrder="0"/>
    </xf>
    <xf borderId="1" fillId="3" fontId="6" numFmtId="164" xfId="0" applyAlignment="1" applyBorder="1" applyFont="1" applyNumberFormat="1">
      <alignment horizontal="right"/>
    </xf>
    <xf borderId="1" fillId="0" fontId="6" numFmtId="166" xfId="0" applyAlignment="1" applyBorder="1" applyFont="1" applyNumberFormat="1">
      <alignment horizontal="right"/>
    </xf>
    <xf borderId="1" fillId="3" fontId="6" numFmtId="166" xfId="0" applyAlignment="1" applyBorder="1" applyFont="1" applyNumberFormat="1">
      <alignment horizontal="right"/>
    </xf>
    <xf borderId="1" fillId="0" fontId="21" numFmtId="166" xfId="0" applyAlignment="1" applyBorder="1" applyFont="1" applyNumberFormat="1">
      <alignment horizontal="right"/>
    </xf>
    <xf borderId="1" fillId="0" fontId="21" numFmtId="168" xfId="0" applyAlignment="1" applyBorder="1" applyFont="1" applyNumberFormat="1">
      <alignment horizontal="right"/>
    </xf>
    <xf borderId="1" fillId="0" fontId="6" numFmtId="168" xfId="0" applyAlignment="1" applyBorder="1" applyFont="1" applyNumberFormat="1">
      <alignment horizontal="right"/>
    </xf>
    <xf borderId="1" fillId="3" fontId="6" numFmtId="167" xfId="0" applyAlignment="1" applyBorder="1" applyFont="1" applyNumberFormat="1">
      <alignment horizontal="right"/>
    </xf>
    <xf borderId="1" fillId="3" fontId="6" numFmtId="165" xfId="0" applyAlignment="1" applyBorder="1" applyFont="1" applyNumberFormat="1">
      <alignment horizontal="right"/>
    </xf>
    <xf borderId="1" fillId="0" fontId="6" numFmtId="165" xfId="0" applyAlignment="1" applyBorder="1" applyFont="1" applyNumberFormat="1">
      <alignment horizontal="right"/>
    </xf>
    <xf borderId="1" fillId="3" fontId="4" numFmtId="10" xfId="0" applyAlignment="1" applyBorder="1" applyFont="1" applyNumberFormat="1">
      <alignment horizontal="right"/>
    </xf>
    <xf borderId="1" fillId="8" fontId="3" numFmtId="0" xfId="0" applyAlignment="1" applyBorder="1" applyFill="1" applyFont="1">
      <alignment horizontal="center" shrinkToFit="0" wrapText="1"/>
    </xf>
    <xf borderId="1" fillId="9" fontId="3" numFmtId="0" xfId="0" applyAlignment="1" applyBorder="1" applyFill="1" applyFont="1">
      <alignment horizontal="center" shrinkToFit="0" wrapText="1"/>
    </xf>
    <xf borderId="2" fillId="0" fontId="9" numFmtId="164" xfId="0" applyAlignment="1" applyBorder="1" applyFont="1" applyNumberFormat="1">
      <alignment horizontal="left"/>
    </xf>
    <xf borderId="2" fillId="10" fontId="20" numFmtId="164" xfId="0" applyAlignment="1" applyBorder="1" applyFill="1" applyFont="1" applyNumberFormat="1">
      <alignment horizontal="right"/>
    </xf>
    <xf borderId="2" fillId="11" fontId="10" numFmtId="164" xfId="0" applyAlignment="1" applyBorder="1" applyFill="1" applyFont="1" applyNumberFormat="1">
      <alignment horizontal="right"/>
    </xf>
    <xf borderId="2" fillId="0" fontId="9" numFmtId="164" xfId="0" applyAlignment="1" applyBorder="1" applyFont="1" applyNumberFormat="1">
      <alignment horizontal="right"/>
    </xf>
    <xf borderId="2" fillId="0" fontId="22" numFmtId="164" xfId="0" applyAlignment="1" applyBorder="1" applyFont="1" applyNumberFormat="1">
      <alignment horizontal="left"/>
    </xf>
    <xf borderId="2" fillId="0" fontId="22" numFmtId="164" xfId="0" applyAlignment="1" applyBorder="1" applyFont="1" applyNumberFormat="1">
      <alignment horizontal="right"/>
    </xf>
    <xf borderId="2" fillId="0" fontId="9" numFmtId="165" xfId="0" applyAlignment="1" applyBorder="1" applyFont="1" applyNumberFormat="1">
      <alignment horizontal="left"/>
    </xf>
    <xf borderId="2" fillId="10" fontId="20" numFmtId="165" xfId="0" applyAlignment="1" applyBorder="1" applyFont="1" applyNumberFormat="1">
      <alignment horizontal="right"/>
    </xf>
    <xf borderId="2" fillId="11" fontId="10" numFmtId="165" xfId="0" applyAlignment="1" applyBorder="1" applyFont="1" applyNumberFormat="1">
      <alignment horizontal="right"/>
    </xf>
    <xf borderId="2" fillId="0" fontId="9" numFmtId="165" xfId="0" applyAlignment="1" applyBorder="1" applyFont="1" applyNumberFormat="1">
      <alignment horizontal="right"/>
    </xf>
    <xf borderId="0" fillId="0" fontId="8" numFmtId="0" xfId="0" applyFont="1"/>
    <xf borderId="0" fillId="0" fontId="23" numFmtId="0" xfId="0" applyFont="1"/>
    <xf borderId="1" fillId="3" fontId="7" numFmtId="164" xfId="0" applyAlignment="1" applyBorder="1" applyFont="1" applyNumberFormat="1">
      <alignment horizontal="right"/>
    </xf>
    <xf borderId="0" fillId="0" fontId="24" numFmtId="0" xfId="0" applyFont="1"/>
    <xf borderId="1" fillId="0" fontId="6" numFmtId="164" xfId="0" applyAlignment="1" applyBorder="1" applyFont="1" applyNumberFormat="1">
      <alignment horizontal="right"/>
    </xf>
    <xf borderId="1" fillId="12" fontId="3" numFmtId="0" xfId="0" applyAlignment="1" applyBorder="1" applyFill="1" applyFont="1">
      <alignment horizontal="center" shrinkToFit="0" wrapText="1"/>
    </xf>
    <xf borderId="0" fillId="0" fontId="25" numFmtId="0" xfId="0" applyAlignment="1" applyFont="1">
      <alignment shrinkToFit="0" wrapText="1"/>
    </xf>
    <xf borderId="1" fillId="5" fontId="21" numFmtId="165" xfId="0" applyAlignment="1" applyBorder="1" applyFont="1" applyNumberFormat="1">
      <alignment horizontal="right"/>
    </xf>
    <xf borderId="1" fillId="0" fontId="21" numFmtId="165" xfId="0" applyAlignment="1" applyBorder="1" applyFont="1" applyNumberFormat="1">
      <alignment horizontal="right"/>
    </xf>
    <xf borderId="1" fillId="0" fontId="7" numFmtId="168" xfId="0" applyAlignment="1" applyBorder="1" applyFont="1" applyNumberFormat="1">
      <alignment horizontal="right"/>
    </xf>
    <xf borderId="1" fillId="3" fontId="7" numFmtId="168" xfId="0" applyAlignment="1" applyBorder="1" applyFont="1" applyNumberFormat="1">
      <alignment horizontal="right"/>
    </xf>
    <xf borderId="6" fillId="4" fontId="8" numFmtId="0" xfId="0" applyBorder="1" applyFont="1"/>
    <xf borderId="6" fillId="4" fontId="9" numFmtId="0" xfId="0" applyBorder="1" applyFont="1"/>
    <xf borderId="1" fillId="0" fontId="20" numFmtId="165" xfId="0" applyAlignment="1" applyBorder="1" applyFont="1" applyNumberFormat="1">
      <alignment horizontal="right"/>
    </xf>
    <xf borderId="1" fillId="3" fontId="20" numFmtId="164" xfId="0" applyAlignment="1" applyBorder="1" applyFont="1" applyNumberFormat="1">
      <alignment horizontal="right"/>
    </xf>
    <xf borderId="1" fillId="3" fontId="20" numFmtId="167" xfId="0" applyAlignment="1" applyBorder="1" applyFont="1" applyNumberFormat="1">
      <alignment horizontal="right"/>
    </xf>
    <xf borderId="1" fillId="3" fontId="20" numFmtId="165" xfId="0" applyAlignment="1" applyBorder="1" applyFont="1" applyNumberFormat="1">
      <alignment horizontal="right"/>
    </xf>
    <xf borderId="1" fillId="0" fontId="20" numFmtId="167" xfId="0" applyAlignment="1" applyBorder="1" applyFont="1" applyNumberFormat="1">
      <alignment horizontal="right"/>
    </xf>
    <xf borderId="1" fillId="0" fontId="7" numFmtId="165" xfId="0" applyAlignment="1" applyBorder="1" applyFont="1" applyNumberFormat="1">
      <alignment horizontal="right"/>
    </xf>
    <xf borderId="1" fillId="3" fontId="6" numFmtId="49" xfId="0" applyAlignment="1" applyBorder="1" applyFont="1" applyNumberFormat="1">
      <alignment horizontal="right"/>
    </xf>
    <xf borderId="1" fillId="3" fontId="5" numFmtId="165" xfId="0" applyAlignment="1" applyBorder="1" applyFont="1" applyNumberFormat="1">
      <alignment horizontal="right"/>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57028"/>
    <pageSetUpPr/>
  </sheetPr>
  <sheetViews>
    <sheetView workbookViewId="0"/>
  </sheetViews>
  <sheetFormatPr customHeight="1" defaultColWidth="14.43" defaultRowHeight="15.0"/>
  <cols>
    <col customWidth="1" min="1" max="1" width="38.0"/>
    <col customWidth="1" min="2" max="5" width="16.0"/>
    <col customWidth="1" min="6" max="26" width="8.71"/>
  </cols>
  <sheetData>
    <row r="1">
      <c r="A1" s="1" t="s">
        <v>0</v>
      </c>
    </row>
    <row r="2">
      <c r="A2" s="2" t="s">
        <v>1</v>
      </c>
    </row>
    <row r="4">
      <c r="A4" s="3"/>
      <c r="B4" s="3" t="s">
        <v>2</v>
      </c>
      <c r="C4" s="3" t="s">
        <v>3</v>
      </c>
      <c r="D4" s="3" t="s">
        <v>4</v>
      </c>
      <c r="E4" s="3" t="s">
        <v>5</v>
      </c>
    </row>
    <row r="5">
      <c r="A5" s="4" t="s">
        <v>6</v>
      </c>
      <c r="B5" s="5">
        <f>Projections!B34</f>
        <v>212181</v>
      </c>
      <c r="C5" s="5">
        <f>Projections!C34</f>
        <v>328346</v>
      </c>
      <c r="D5" s="5">
        <f>Projections!D34</f>
        <v>817530</v>
      </c>
      <c r="E5" s="5">
        <f>Projections!E34</f>
        <v>1797500</v>
      </c>
    </row>
    <row r="6">
      <c r="A6" s="6" t="s">
        <v>7</v>
      </c>
      <c r="B6" s="7"/>
      <c r="C6" s="7">
        <f t="shared" ref="C6:E6" si="1">IF(B5&gt;0,(C5-B5)/B5,0)</f>
        <v>0.5474806887</v>
      </c>
      <c r="D6" s="7">
        <f t="shared" si="1"/>
        <v>1.489843031</v>
      </c>
      <c r="E6" s="7">
        <f t="shared" si="1"/>
        <v>1.198696072</v>
      </c>
    </row>
    <row r="7">
      <c r="A7" s="4" t="s">
        <v>8</v>
      </c>
      <c r="B7" s="5">
        <f>Projections!B36</f>
        <v>192448.167</v>
      </c>
      <c r="C7" s="5">
        <f>Projections!C36</f>
        <v>295511.4</v>
      </c>
      <c r="D7" s="5">
        <f>Projections!D36</f>
        <v>735777</v>
      </c>
      <c r="E7" s="5">
        <f>Projections!E36</f>
        <v>1635725</v>
      </c>
    </row>
    <row r="8">
      <c r="A8" s="6" t="s">
        <v>9</v>
      </c>
      <c r="B8" s="7">
        <f>Projections!B37</f>
        <v>0.907</v>
      </c>
      <c r="C8" s="7">
        <f>Projections!C37</f>
        <v>0.9</v>
      </c>
      <c r="D8" s="7">
        <f>Projections!D37</f>
        <v>0.9</v>
      </c>
      <c r="E8" s="7">
        <f>Projections!E37</f>
        <v>0.91</v>
      </c>
    </row>
    <row r="9">
      <c r="A9" s="4" t="s">
        <v>10</v>
      </c>
      <c r="B9" s="5">
        <f>Projections!B39</f>
        <v>92148.167</v>
      </c>
      <c r="C9" s="5">
        <f>Projections!C39</f>
        <v>-269488.6</v>
      </c>
      <c r="D9" s="5">
        <f>Projections!D39</f>
        <v>-28223</v>
      </c>
      <c r="E9" s="5">
        <f>Projections!E39</f>
        <v>588725</v>
      </c>
    </row>
    <row r="10">
      <c r="A10" s="6" t="s">
        <v>11</v>
      </c>
      <c r="B10" s="7">
        <f>Projections!B40</f>
        <v>0.4342903794</v>
      </c>
      <c r="C10" s="7">
        <f>Projections!C40</f>
        <v>-0.8207457986</v>
      </c>
      <c r="D10" s="7">
        <f>Projections!D40</f>
        <v>-0.03452228053</v>
      </c>
      <c r="E10" s="7">
        <f>Projections!E40</f>
        <v>0.3275243394</v>
      </c>
    </row>
    <row r="11">
      <c r="A11" s="8" t="s">
        <v>12</v>
      </c>
      <c r="B11" s="9">
        <f>Projections!B44</f>
        <v>0</v>
      </c>
      <c r="C11" s="9">
        <f>Projections!C44</f>
        <v>-40156.94004</v>
      </c>
      <c r="D11" s="9">
        <f>Projections!D44</f>
        <v>-64616.14004</v>
      </c>
      <c r="E11" s="9">
        <f>Projections!E44</f>
        <v>-113614.64</v>
      </c>
    </row>
    <row r="12">
      <c r="A12" s="10" t="s">
        <v>13</v>
      </c>
      <c r="B12" s="11">
        <f>Projections!B45</f>
        <v>92148.167</v>
      </c>
      <c r="C12" s="11">
        <f>Projections!C45</f>
        <v>-309645.54</v>
      </c>
      <c r="D12" s="11">
        <f>Projections!D45</f>
        <v>-92839.14004</v>
      </c>
      <c r="E12" s="11">
        <f>Projections!E45</f>
        <v>475110.36</v>
      </c>
    </row>
    <row r="13">
      <c r="A13" s="4" t="s">
        <v>14</v>
      </c>
      <c r="B13" s="5">
        <f>Projections!B48</f>
        <v>97148.167</v>
      </c>
      <c r="C13" s="5">
        <f>Projections!C48</f>
        <v>190354.46</v>
      </c>
      <c r="D13" s="5">
        <f>Projections!D48</f>
        <v>97515.31991</v>
      </c>
      <c r="E13" s="5">
        <f>Projections!E48</f>
        <v>572625.6799</v>
      </c>
    </row>
    <row r="15">
      <c r="A15" s="8" t="s">
        <v>15</v>
      </c>
      <c r="B15" s="12">
        <f>Assumptions!B75</f>
        <v>132</v>
      </c>
      <c r="C15" s="12">
        <f>Assumptions!C75</f>
        <v>515</v>
      </c>
      <c r="D15" s="12">
        <f>Assumptions!D75</f>
        <v>1650</v>
      </c>
      <c r="E15" s="12">
        <f>Assumptions!E75</f>
        <v>3600</v>
      </c>
    </row>
    <row r="16">
      <c r="A16" s="6" t="s">
        <v>16</v>
      </c>
      <c r="B16" s="13">
        <f>Assumptions!B76</f>
        <v>4</v>
      </c>
      <c r="C16" s="13">
        <f>Assumptions!C76</f>
        <v>6</v>
      </c>
      <c r="D16" s="13">
        <f>Assumptions!D76</f>
        <v>15</v>
      </c>
      <c r="E16" s="13">
        <f>Assumptions!E76</f>
        <v>33</v>
      </c>
    </row>
    <row r="17">
      <c r="A17" s="8" t="s">
        <v>17</v>
      </c>
      <c r="B17" s="12">
        <f>Assumptions!B77</f>
        <v>10000</v>
      </c>
      <c r="C17" s="12">
        <f>Assumptions!C77</f>
        <v>25000</v>
      </c>
      <c r="D17" s="12">
        <f>Assumptions!D77</f>
        <v>60000</v>
      </c>
      <c r="E17" s="12">
        <f>Assumptions!E77</f>
        <v>120000</v>
      </c>
    </row>
    <row r="18">
      <c r="A18" s="6" t="s">
        <v>18</v>
      </c>
      <c r="B18" s="14">
        <f>Assumptions!B82</f>
        <v>0</v>
      </c>
      <c r="C18" s="14">
        <f>Assumptions!C82</f>
        <v>6.983936452</v>
      </c>
      <c r="D18" s="14">
        <f>Assumptions!D82</f>
        <v>10.38030303</v>
      </c>
      <c r="E18" s="14">
        <f>Assumptions!E82</f>
        <v>14.36042524</v>
      </c>
    </row>
    <row r="20">
      <c r="A20" s="10" t="s">
        <v>19</v>
      </c>
      <c r="B20" s="15">
        <f>'Valuation &amp; Exit'!B12</f>
        <v>1697448</v>
      </c>
      <c r="C20" s="15">
        <f>'Valuation &amp; Exit'!C12</f>
        <v>2626768</v>
      </c>
      <c r="D20" s="15">
        <f>'Valuation &amp; Exit'!D12</f>
        <v>6540240</v>
      </c>
      <c r="E20" s="15">
        <f>'Valuation &amp; Exit'!E12</f>
        <v>14380000</v>
      </c>
    </row>
    <row r="21" ht="15.75" customHeight="1"/>
    <row r="22" ht="15.75" customHeight="1">
      <c r="A22" s="16" t="s">
        <v>20</v>
      </c>
      <c r="B22" s="17"/>
      <c r="C22" s="18" t="s">
        <v>21</v>
      </c>
      <c r="D22" s="19"/>
      <c r="E22" s="19"/>
    </row>
    <row r="23" ht="15.75" customHeight="1">
      <c r="A23" s="20" t="s">
        <v>22</v>
      </c>
      <c r="B23" s="21">
        <v>250000.0</v>
      </c>
      <c r="C23" s="22" t="s">
        <v>23</v>
      </c>
      <c r="D23" s="23"/>
      <c r="E23" s="24"/>
    </row>
    <row r="24" ht="15.75" customHeight="1">
      <c r="A24" s="20" t="s">
        <v>24</v>
      </c>
      <c r="B24" s="21">
        <v>150000.0</v>
      </c>
      <c r="C24" s="25" t="s">
        <v>25</v>
      </c>
    </row>
    <row r="25" ht="15.75" customHeight="1">
      <c r="A25" s="20" t="s">
        <v>26</v>
      </c>
      <c r="B25" s="21">
        <v>100000.0</v>
      </c>
      <c r="C25" s="25" t="s">
        <v>27</v>
      </c>
    </row>
    <row r="26" ht="15.75" customHeight="1">
      <c r="A26" s="26" t="s">
        <v>28</v>
      </c>
      <c r="B26" s="27">
        <f>B23+B24+B25</f>
        <v>500000</v>
      </c>
      <c r="C26" s="25" t="s">
        <v>29</v>
      </c>
    </row>
    <row r="27" ht="15.75" customHeight="1"/>
    <row r="28" ht="15.75" customHeight="1">
      <c r="A28" s="20" t="s">
        <v>30</v>
      </c>
      <c r="B28" s="28">
        <v>0.05</v>
      </c>
      <c r="C28" s="25" t="s">
        <v>31</v>
      </c>
    </row>
    <row r="29" ht="15.75" customHeight="1">
      <c r="A29" s="20" t="s">
        <v>32</v>
      </c>
      <c r="B29" s="29">
        <v>1.5</v>
      </c>
      <c r="C29" s="25" t="s">
        <v>33</v>
      </c>
    </row>
    <row r="30" ht="15.75" customHeight="1">
      <c r="A30" s="20" t="s">
        <v>34</v>
      </c>
      <c r="B30" s="28">
        <v>0.06</v>
      </c>
      <c r="C30" s="25" t="s">
        <v>35</v>
      </c>
    </row>
    <row r="31" ht="15.75" customHeight="1">
      <c r="A31" s="20" t="s">
        <v>36</v>
      </c>
      <c r="B31" s="30">
        <v>5.0</v>
      </c>
      <c r="C31" s="25" t="s">
        <v>37</v>
      </c>
    </row>
    <row r="32" ht="15.75" customHeight="1">
      <c r="A32" s="20" t="s">
        <v>38</v>
      </c>
      <c r="B32" s="31">
        <v>5000000.0</v>
      </c>
      <c r="C32" s="25" t="s">
        <v>39</v>
      </c>
    </row>
    <row r="33" ht="15.75" customHeight="1"/>
    <row r="34" ht="15.75" customHeight="1">
      <c r="A34" s="20" t="s">
        <v>40</v>
      </c>
      <c r="B34" s="32">
        <f>IF(B32&gt;0,B23/B32,0)</f>
        <v>0.05</v>
      </c>
    </row>
    <row r="35" ht="15.75" customHeight="1">
      <c r="A35" s="20" t="s">
        <v>41</v>
      </c>
      <c r="B35" s="33">
        <f>B24*B29</f>
        <v>225000</v>
      </c>
    </row>
    <row r="36" ht="15.75" customHeight="1">
      <c r="A36" s="20" t="s">
        <v>42</v>
      </c>
      <c r="B36" s="33">
        <f>PMT(B30,B31,-B25)</f>
        <v>23739.64004</v>
      </c>
    </row>
    <row r="37" ht="15.75" customHeight="1">
      <c r="A37" s="26" t="s">
        <v>43</v>
      </c>
      <c r="B37" s="27">
        <f>Projections!C44</f>
        <v>-40156.94004</v>
      </c>
    </row>
    <row r="38" ht="15.75" customHeight="1">
      <c r="A38" s="26" t="s">
        <v>44</v>
      </c>
      <c r="B38" s="34">
        <f>1-B34</f>
        <v>0.95</v>
      </c>
    </row>
    <row r="39" ht="15.75" customHeight="1"/>
    <row r="40" ht="15.75" customHeight="1">
      <c r="A40" s="16" t="s">
        <v>45</v>
      </c>
      <c r="B40" s="17"/>
      <c r="C40" s="17"/>
      <c r="D40" s="17"/>
      <c r="E40" s="17"/>
    </row>
    <row r="41" ht="31.5" customHeight="1">
      <c r="A41" s="35" t="s">
        <v>46</v>
      </c>
      <c r="B41" s="36" t="s">
        <v>47</v>
      </c>
      <c r="C41" s="19"/>
      <c r="D41" s="19"/>
      <c r="E41" s="19"/>
    </row>
    <row r="42" ht="31.5" customHeight="1">
      <c r="A42" s="37" t="s">
        <v>48</v>
      </c>
      <c r="B42" s="38" t="s">
        <v>49</v>
      </c>
      <c r="C42" s="19"/>
      <c r="D42" s="19"/>
      <c r="E42" s="19"/>
    </row>
    <row r="43" ht="31.5" customHeight="1">
      <c r="A43" s="37" t="s">
        <v>50</v>
      </c>
      <c r="B43" s="38" t="s">
        <v>51</v>
      </c>
      <c r="C43" s="19"/>
      <c r="D43" s="19"/>
      <c r="E43" s="19"/>
    </row>
    <row r="44" ht="31.5" customHeight="1">
      <c r="A44" s="37" t="s">
        <v>52</v>
      </c>
      <c r="B44" s="38" t="s">
        <v>53</v>
      </c>
      <c r="C44" s="19"/>
      <c r="D44" s="19"/>
      <c r="E44" s="19"/>
    </row>
    <row r="45" ht="31.5" customHeight="1">
      <c r="A45" s="37" t="s">
        <v>54</v>
      </c>
      <c r="B45" s="38" t="s">
        <v>55</v>
      </c>
      <c r="C45" s="19"/>
      <c r="D45" s="19"/>
      <c r="E45" s="19"/>
    </row>
    <row r="46" ht="31.5" customHeight="1">
      <c r="A46" s="37" t="s">
        <v>56</v>
      </c>
      <c r="B46" s="38" t="s">
        <v>57</v>
      </c>
      <c r="C46" s="19"/>
      <c r="D46" s="19"/>
      <c r="E46" s="19"/>
    </row>
    <row r="47" ht="31.5" customHeight="1">
      <c r="A47" s="37" t="s">
        <v>58</v>
      </c>
      <c r="B47" s="38" t="s">
        <v>59</v>
      </c>
      <c r="C47" s="19"/>
      <c r="D47" s="19"/>
      <c r="E47" s="19"/>
    </row>
    <row r="48" ht="15.75" customHeight="1"/>
    <row r="49" ht="36.0" customHeight="1">
      <c r="A49" s="39" t="s">
        <v>60</v>
      </c>
      <c r="B49" s="40" t="s">
        <v>61</v>
      </c>
      <c r="C49" s="19"/>
      <c r="D49" s="19"/>
      <c r="E49" s="19"/>
    </row>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C22:E22"/>
    <mergeCell ref="C23:E23"/>
    <mergeCell ref="C24:E24"/>
    <mergeCell ref="C25:E25"/>
    <mergeCell ref="C26:E26"/>
    <mergeCell ref="C28:E28"/>
    <mergeCell ref="C29:E29"/>
    <mergeCell ref="B45:E45"/>
    <mergeCell ref="B46:E46"/>
    <mergeCell ref="B47:E47"/>
    <mergeCell ref="B49:E49"/>
    <mergeCell ref="C30:E30"/>
    <mergeCell ref="C31:E31"/>
    <mergeCell ref="C32:E32"/>
    <mergeCell ref="B41:E41"/>
    <mergeCell ref="B42:E42"/>
    <mergeCell ref="B43:E43"/>
    <mergeCell ref="B44:E44"/>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57028"/>
    <outlinePr summaryBelow="0"/>
    <pageSetUpPr/>
  </sheetPr>
  <sheetViews>
    <sheetView workbookViewId="0"/>
  </sheetViews>
  <sheetFormatPr customHeight="1" defaultColWidth="14.43" defaultRowHeight="15.0" outlineLevelRow="1"/>
  <cols>
    <col customWidth="1" min="1" max="1" width="42.0"/>
    <col customWidth="1" min="2" max="5" width="18.0"/>
    <col customWidth="1" min="6" max="6" width="47.29"/>
    <col customWidth="1" min="7" max="26" width="8.71"/>
  </cols>
  <sheetData>
    <row r="1">
      <c r="A1" s="1" t="s">
        <v>62</v>
      </c>
    </row>
    <row r="2">
      <c r="A2" s="41" t="s">
        <v>63</v>
      </c>
    </row>
    <row r="3">
      <c r="A3" s="25" t="s">
        <v>64</v>
      </c>
    </row>
    <row r="5">
      <c r="A5" s="3"/>
      <c r="B5" s="3" t="s">
        <v>65</v>
      </c>
      <c r="C5" s="3" t="s">
        <v>66</v>
      </c>
      <c r="D5" s="3" t="s">
        <v>67</v>
      </c>
      <c r="E5" s="3" t="s">
        <v>68</v>
      </c>
      <c r="F5" s="3" t="s">
        <v>69</v>
      </c>
    </row>
    <row r="6">
      <c r="A6" s="16" t="s">
        <v>70</v>
      </c>
      <c r="B6" s="17"/>
      <c r="C6" s="17"/>
      <c r="D6" s="17"/>
      <c r="E6" s="17"/>
      <c r="F6" s="17"/>
    </row>
    <row r="7" collapsed="1">
      <c r="A7" s="4" t="s">
        <v>71</v>
      </c>
      <c r="B7" s="42">
        <f t="shared" ref="B7:E7" si="1">SUM(B9,B11,B13,B15)</f>
        <v>18230</v>
      </c>
      <c r="C7" s="42">
        <f t="shared" si="1"/>
        <v>59346</v>
      </c>
      <c r="D7" s="42">
        <f t="shared" si="1"/>
        <v>205530</v>
      </c>
      <c r="E7" s="42">
        <f t="shared" si="1"/>
        <v>502500</v>
      </c>
      <c r="F7" s="42" t="s">
        <v>72</v>
      </c>
    </row>
    <row r="8" hidden="1" outlineLevel="1">
      <c r="A8" s="43" t="s">
        <v>73</v>
      </c>
      <c r="B8" s="44">
        <v>13.0</v>
      </c>
      <c r="C8" s="44">
        <v>15.0</v>
      </c>
      <c r="D8" s="44">
        <v>0.0</v>
      </c>
      <c r="E8" s="44">
        <v>0.0</v>
      </c>
      <c r="F8" s="44" t="s">
        <v>74</v>
      </c>
    </row>
    <row r="9" hidden="1" outlineLevel="1">
      <c r="A9" s="45" t="s">
        <v>75</v>
      </c>
      <c r="B9" s="46">
        <v>1100.0</v>
      </c>
      <c r="C9" s="46">
        <f t="shared" ref="C9:E9" si="2">(B8+C8)/2*7*12</f>
        <v>1176</v>
      </c>
      <c r="D9" s="46">
        <f t="shared" si="2"/>
        <v>630</v>
      </c>
      <c r="E9" s="46">
        <f t="shared" si="2"/>
        <v>0</v>
      </c>
      <c r="F9" s="46"/>
    </row>
    <row r="10" hidden="1" outlineLevel="1">
      <c r="A10" s="43" t="s">
        <v>76</v>
      </c>
      <c r="B10" s="44">
        <v>4.0</v>
      </c>
      <c r="C10" s="44">
        <v>40.0</v>
      </c>
      <c r="D10" s="44">
        <v>200.0</v>
      </c>
      <c r="E10" s="44">
        <v>500.0</v>
      </c>
      <c r="F10" s="44" t="s">
        <v>77</v>
      </c>
    </row>
    <row r="11" hidden="1" outlineLevel="1">
      <c r="A11" s="45" t="s">
        <v>78</v>
      </c>
      <c r="B11" s="46">
        <v>400.0</v>
      </c>
      <c r="C11" s="46">
        <f t="shared" ref="C11:E11" si="3">(B10+C10)/2*10*12</f>
        <v>2640</v>
      </c>
      <c r="D11" s="46">
        <f t="shared" si="3"/>
        <v>14400</v>
      </c>
      <c r="E11" s="46">
        <f t="shared" si="3"/>
        <v>42000</v>
      </c>
      <c r="F11" s="46"/>
    </row>
    <row r="12" hidden="1" outlineLevel="1">
      <c r="A12" s="43" t="s">
        <v>79</v>
      </c>
      <c r="B12" s="44">
        <v>112.0</v>
      </c>
      <c r="C12" s="44">
        <v>400.0</v>
      </c>
      <c r="D12" s="44">
        <v>1200.0</v>
      </c>
      <c r="E12" s="44">
        <v>2500.0</v>
      </c>
      <c r="F12" s="44" t="s">
        <v>80</v>
      </c>
    </row>
    <row r="13" hidden="1" outlineLevel="1">
      <c r="A13" s="45" t="s">
        <v>81</v>
      </c>
      <c r="B13" s="46">
        <v>15830.0</v>
      </c>
      <c r="C13" s="46">
        <f t="shared" ref="C13:E13" si="4">(B12+C12)/2*15*12</f>
        <v>46080</v>
      </c>
      <c r="D13" s="46">
        <f t="shared" si="4"/>
        <v>144000</v>
      </c>
      <c r="E13" s="46">
        <f t="shared" si="4"/>
        <v>333000</v>
      </c>
      <c r="F13" s="46"/>
    </row>
    <row r="14" hidden="1" outlineLevel="1">
      <c r="A14" s="43" t="s">
        <v>82</v>
      </c>
      <c r="B14" s="44">
        <v>3.0</v>
      </c>
      <c r="C14" s="44">
        <v>60.0</v>
      </c>
      <c r="D14" s="44">
        <v>250.0</v>
      </c>
      <c r="E14" s="44">
        <v>600.0</v>
      </c>
      <c r="F14" s="44" t="s">
        <v>83</v>
      </c>
    </row>
    <row r="15" hidden="1" outlineLevel="1">
      <c r="A15" s="45" t="s">
        <v>84</v>
      </c>
      <c r="B15" s="46">
        <v>900.0</v>
      </c>
      <c r="C15" s="46">
        <f t="shared" ref="C15:E15" si="5">(B14+C14)/2*25*12</f>
        <v>9450</v>
      </c>
      <c r="D15" s="46">
        <f t="shared" si="5"/>
        <v>46500</v>
      </c>
      <c r="E15" s="46">
        <f t="shared" si="5"/>
        <v>127500</v>
      </c>
      <c r="F15" s="46"/>
    </row>
    <row r="17" collapsed="1">
      <c r="A17" s="4" t="s">
        <v>85</v>
      </c>
      <c r="B17" s="42">
        <f t="shared" ref="B17:E17" si="6">SUM(B19,B21,B23,B24)</f>
        <v>2000</v>
      </c>
      <c r="C17" s="42">
        <f t="shared" si="6"/>
        <v>79000</v>
      </c>
      <c r="D17" s="42">
        <f t="shared" si="6"/>
        <v>177000</v>
      </c>
      <c r="E17" s="42">
        <f t="shared" si="6"/>
        <v>420000</v>
      </c>
      <c r="F17" s="42" t="s">
        <v>86</v>
      </c>
    </row>
    <row r="18" hidden="1" outlineLevel="1">
      <c r="A18" s="43" t="s">
        <v>87</v>
      </c>
      <c r="B18" s="44">
        <v>2.0</v>
      </c>
      <c r="C18" s="44">
        <v>1.0</v>
      </c>
      <c r="D18" s="44">
        <v>0.0</v>
      </c>
      <c r="E18" s="44">
        <v>0.0</v>
      </c>
      <c r="F18" s="44" t="s">
        <v>88</v>
      </c>
    </row>
    <row r="19" hidden="1" outlineLevel="1">
      <c r="A19" s="45" t="s">
        <v>75</v>
      </c>
      <c r="B19" s="46">
        <v>1000.0</v>
      </c>
      <c r="C19" s="46">
        <f t="shared" ref="C19:E19" si="7">(B18+C18)/2*500*12</f>
        <v>9000</v>
      </c>
      <c r="D19" s="46">
        <f t="shared" si="7"/>
        <v>3000</v>
      </c>
      <c r="E19" s="46">
        <f t="shared" si="7"/>
        <v>0</v>
      </c>
      <c r="F19" s="46"/>
    </row>
    <row r="20" hidden="1" outlineLevel="1">
      <c r="A20" s="43" t="s">
        <v>89</v>
      </c>
      <c r="B20" s="44">
        <v>1.0</v>
      </c>
      <c r="C20" s="44">
        <v>3.0</v>
      </c>
      <c r="D20" s="44">
        <v>8.0</v>
      </c>
      <c r="E20" s="44">
        <v>18.0</v>
      </c>
      <c r="F20" s="44" t="s">
        <v>90</v>
      </c>
    </row>
    <row r="21" ht="15.75" hidden="1" customHeight="1" outlineLevel="1">
      <c r="A21" s="45" t="s">
        <v>91</v>
      </c>
      <c r="B21" s="46">
        <v>500.0</v>
      </c>
      <c r="C21" s="46">
        <f t="shared" ref="C21:E21" si="8">(B20+C20)/2*1000*12</f>
        <v>24000</v>
      </c>
      <c r="D21" s="46">
        <f t="shared" si="8"/>
        <v>66000</v>
      </c>
      <c r="E21" s="46">
        <f t="shared" si="8"/>
        <v>156000</v>
      </c>
      <c r="F21" s="46"/>
    </row>
    <row r="22" ht="15.75" hidden="1" customHeight="1" outlineLevel="1">
      <c r="A22" s="43" t="s">
        <v>92</v>
      </c>
      <c r="B22" s="44">
        <v>1.0</v>
      </c>
      <c r="C22" s="44">
        <v>2.0</v>
      </c>
      <c r="D22" s="44">
        <v>7.0</v>
      </c>
      <c r="E22" s="44">
        <v>15.0</v>
      </c>
      <c r="F22" s="44" t="s">
        <v>93</v>
      </c>
    </row>
    <row r="23" ht="15.75" hidden="1" customHeight="1" outlineLevel="1">
      <c r="A23" s="45" t="s">
        <v>94</v>
      </c>
      <c r="B23" s="46">
        <v>500.0</v>
      </c>
      <c r="C23" s="46">
        <f t="shared" ref="C23:E23" si="9">(B22+C22)/2*2000*12</f>
        <v>36000</v>
      </c>
      <c r="D23" s="46">
        <f t="shared" si="9"/>
        <v>108000</v>
      </c>
      <c r="E23" s="46">
        <f t="shared" si="9"/>
        <v>264000</v>
      </c>
      <c r="F23" s="46"/>
    </row>
    <row r="24" ht="15.75" hidden="1" customHeight="1" outlineLevel="1">
      <c r="A24" s="43" t="s">
        <v>95</v>
      </c>
      <c r="B24" s="47">
        <v>0.0</v>
      </c>
      <c r="C24" s="47">
        <v>10000.0</v>
      </c>
      <c r="D24" s="47">
        <v>0.0</v>
      </c>
      <c r="E24" s="47">
        <v>0.0</v>
      </c>
      <c r="F24" s="47" t="s">
        <v>96</v>
      </c>
    </row>
    <row r="25" ht="15.75" customHeight="1" collapsed="1">
      <c r="A25" s="4" t="s">
        <v>97</v>
      </c>
      <c r="B25" s="42">
        <v>73890.0</v>
      </c>
      <c r="C25" s="42">
        <f t="shared" ref="C25:E25" si="10">SUM(C26:C32)</f>
        <v>100000</v>
      </c>
      <c r="D25" s="42">
        <f t="shared" si="10"/>
        <v>160000</v>
      </c>
      <c r="E25" s="42">
        <f t="shared" si="10"/>
        <v>240000</v>
      </c>
      <c r="F25" s="42" t="s">
        <v>98</v>
      </c>
    </row>
    <row r="26" ht="15.75" hidden="1" customHeight="1" outlineLevel="1">
      <c r="A26" s="43" t="s">
        <v>99</v>
      </c>
      <c r="B26" s="47">
        <v>0.0</v>
      </c>
      <c r="C26" s="47">
        <v>17000.0</v>
      </c>
      <c r="D26" s="47">
        <v>25000.0</v>
      </c>
      <c r="E26" s="47">
        <v>35000.0</v>
      </c>
      <c r="F26" s="47" t="s">
        <v>100</v>
      </c>
    </row>
    <row r="27" ht="15.75" hidden="1" customHeight="1" outlineLevel="1">
      <c r="A27" s="45" t="s">
        <v>101</v>
      </c>
      <c r="B27" s="48">
        <v>0.0</v>
      </c>
      <c r="C27" s="48">
        <v>18000.0</v>
      </c>
      <c r="D27" s="48">
        <v>28000.0</v>
      </c>
      <c r="E27" s="48">
        <v>40000.0</v>
      </c>
      <c r="F27" s="48" t="s">
        <v>102</v>
      </c>
    </row>
    <row r="28" ht="15.75" hidden="1" customHeight="1" outlineLevel="1">
      <c r="A28" s="43" t="s">
        <v>103</v>
      </c>
      <c r="B28" s="47">
        <v>0.0</v>
      </c>
      <c r="C28" s="47">
        <v>10000.0</v>
      </c>
      <c r="D28" s="47">
        <v>16000.0</v>
      </c>
      <c r="E28" s="47">
        <v>24000.0</v>
      </c>
      <c r="F28" s="47"/>
    </row>
    <row r="29" ht="15.75" hidden="1" customHeight="1" outlineLevel="1">
      <c r="A29" s="45" t="s">
        <v>104</v>
      </c>
      <c r="B29" s="48">
        <v>0.0</v>
      </c>
      <c r="C29" s="48">
        <v>14000.0</v>
      </c>
      <c r="D29" s="48">
        <v>22000.0</v>
      </c>
      <c r="E29" s="48">
        <v>32000.0</v>
      </c>
      <c r="F29" s="48"/>
    </row>
    <row r="30" ht="15.75" hidden="1" customHeight="1" outlineLevel="1">
      <c r="A30" s="43" t="s">
        <v>105</v>
      </c>
      <c r="B30" s="47">
        <v>0.0</v>
      </c>
      <c r="C30" s="47">
        <v>10000.0</v>
      </c>
      <c r="D30" s="47">
        <v>16000.0</v>
      </c>
      <c r="E30" s="47">
        <v>24000.0</v>
      </c>
      <c r="F30" s="47"/>
    </row>
    <row r="31" ht="15.75" hidden="1" customHeight="1" outlineLevel="1">
      <c r="A31" s="45" t="s">
        <v>106</v>
      </c>
      <c r="B31" s="48">
        <v>0.0</v>
      </c>
      <c r="C31" s="48">
        <v>21000.0</v>
      </c>
      <c r="D31" s="48">
        <v>33000.0</v>
      </c>
      <c r="E31" s="48">
        <v>50000.0</v>
      </c>
      <c r="F31" s="48" t="s">
        <v>107</v>
      </c>
    </row>
    <row r="32" ht="15.75" hidden="1" customHeight="1" outlineLevel="1">
      <c r="A32" s="43" t="s">
        <v>108</v>
      </c>
      <c r="B32" s="47">
        <v>0.0</v>
      </c>
      <c r="C32" s="47">
        <v>10000.0</v>
      </c>
      <c r="D32" s="47">
        <v>20000.0</v>
      </c>
      <c r="E32" s="47">
        <v>35000.0</v>
      </c>
      <c r="F32" s="47" t="s">
        <v>109</v>
      </c>
    </row>
    <row r="33" ht="15.75" customHeight="1"/>
    <row r="34" ht="15.75" customHeight="1" collapsed="1">
      <c r="A34" s="10" t="s">
        <v>110</v>
      </c>
      <c r="B34" s="49">
        <f t="shared" ref="B34:E34" si="11">SUM(B35:B38)</f>
        <v>0</v>
      </c>
      <c r="C34" s="49">
        <f t="shared" si="11"/>
        <v>50000</v>
      </c>
      <c r="D34" s="49">
        <f t="shared" si="11"/>
        <v>255000</v>
      </c>
      <c r="E34" s="49">
        <f t="shared" si="11"/>
        <v>635000</v>
      </c>
      <c r="F34" s="49" t="s">
        <v>111</v>
      </c>
    </row>
    <row r="35" ht="15.75" hidden="1" customHeight="1" outlineLevel="1">
      <c r="A35" s="45" t="s">
        <v>112</v>
      </c>
      <c r="B35" s="48">
        <v>0.0</v>
      </c>
      <c r="C35" s="48">
        <v>30000.0</v>
      </c>
      <c r="D35" s="48">
        <v>100000.0</v>
      </c>
      <c r="E35" s="48">
        <v>200000.0</v>
      </c>
      <c r="F35" s="48" t="s">
        <v>113</v>
      </c>
    </row>
    <row r="36" ht="15.75" hidden="1" customHeight="1" outlineLevel="1">
      <c r="A36" s="43" t="s">
        <v>114</v>
      </c>
      <c r="B36" s="47">
        <v>0.0</v>
      </c>
      <c r="C36" s="47">
        <v>10000.0</v>
      </c>
      <c r="D36" s="47">
        <v>30000.0</v>
      </c>
      <c r="E36" s="47">
        <v>60000.0</v>
      </c>
      <c r="F36" s="47" t="s">
        <v>115</v>
      </c>
    </row>
    <row r="37" ht="15.75" hidden="1" customHeight="1" outlineLevel="1">
      <c r="A37" s="45" t="s">
        <v>116</v>
      </c>
      <c r="B37" s="48">
        <v>0.0</v>
      </c>
      <c r="C37" s="48">
        <v>10000.0</v>
      </c>
      <c r="D37" s="48">
        <v>50000.0</v>
      </c>
      <c r="E37" s="48">
        <v>150000.0</v>
      </c>
      <c r="F37" s="48" t="s">
        <v>117</v>
      </c>
    </row>
    <row r="38" ht="15.75" hidden="1" customHeight="1" outlineLevel="1">
      <c r="A38" s="43" t="s">
        <v>118</v>
      </c>
      <c r="B38" s="47">
        <v>0.0</v>
      </c>
      <c r="C38" s="47">
        <v>0.0</v>
      </c>
      <c r="D38" s="47">
        <v>75000.0</v>
      </c>
      <c r="E38" s="47">
        <v>225000.0</v>
      </c>
      <c r="F38" s="47" t="s">
        <v>119</v>
      </c>
    </row>
    <row r="39" ht="15.75" customHeight="1"/>
    <row r="40" ht="15.75" customHeight="1">
      <c r="A40" s="6" t="s">
        <v>120</v>
      </c>
      <c r="B40" s="50">
        <v>69656.0</v>
      </c>
      <c r="C40" s="50">
        <v>40000.0</v>
      </c>
      <c r="D40" s="50">
        <v>20000.0</v>
      </c>
      <c r="E40" s="50">
        <v>0.0</v>
      </c>
      <c r="F40" s="50" t="s">
        <v>121</v>
      </c>
    </row>
    <row r="41" ht="15.75" customHeight="1">
      <c r="A41" s="8" t="s">
        <v>122</v>
      </c>
      <c r="B41" s="51">
        <v>48405.0</v>
      </c>
      <c r="C41" s="51">
        <v>0.0</v>
      </c>
      <c r="D41" s="51">
        <v>0.0</v>
      </c>
      <c r="E41" s="51">
        <v>0.0</v>
      </c>
      <c r="F41" s="51" t="s">
        <v>123</v>
      </c>
    </row>
    <row r="42" ht="15.75" customHeight="1"/>
    <row r="43" ht="15.75" customHeight="1">
      <c r="A43" s="16" t="s">
        <v>124</v>
      </c>
      <c r="B43" s="17"/>
      <c r="C43" s="17"/>
      <c r="D43" s="17"/>
      <c r="E43" s="17"/>
      <c r="F43" s="17"/>
    </row>
    <row r="44" ht="15.75" customHeight="1">
      <c r="A44" s="6" t="s">
        <v>125</v>
      </c>
      <c r="B44" s="52">
        <v>0.093</v>
      </c>
      <c r="C44" s="52">
        <v>0.1</v>
      </c>
      <c r="D44" s="52">
        <v>0.1</v>
      </c>
      <c r="E44" s="52">
        <v>0.09</v>
      </c>
      <c r="F44" s="52" t="s">
        <v>126</v>
      </c>
    </row>
    <row r="45" ht="15.75" customHeight="1"/>
    <row r="46" ht="15.75" customHeight="1">
      <c r="A46" s="16" t="s">
        <v>127</v>
      </c>
      <c r="B46" s="17"/>
      <c r="C46" s="17"/>
      <c r="D46" s="17"/>
      <c r="E46" s="17"/>
      <c r="F46" s="17"/>
    </row>
    <row r="47" ht="15.75" customHeight="1">
      <c r="A47" s="4" t="s">
        <v>128</v>
      </c>
      <c r="B47" s="42">
        <f t="shared" ref="B47:E47" si="12">SUM(B48:B52)</f>
        <v>7911</v>
      </c>
      <c r="C47" s="42">
        <f t="shared" si="12"/>
        <v>220000</v>
      </c>
      <c r="D47" s="42">
        <f t="shared" si="12"/>
        <v>295000</v>
      </c>
      <c r="E47" s="42">
        <f t="shared" si="12"/>
        <v>390000</v>
      </c>
      <c r="F47" s="42" t="s">
        <v>129</v>
      </c>
    </row>
    <row r="48" ht="15.75" customHeight="1" outlineLevel="1">
      <c r="A48" s="43" t="s">
        <v>130</v>
      </c>
      <c r="B48" s="47">
        <v>7911.0</v>
      </c>
      <c r="C48" s="53">
        <v>100000.0</v>
      </c>
      <c r="D48" s="53">
        <v>120000.0</v>
      </c>
      <c r="E48" s="53">
        <v>140000.0</v>
      </c>
      <c r="F48" s="47" t="s">
        <v>131</v>
      </c>
    </row>
    <row r="49" ht="15.75" customHeight="1" outlineLevel="1">
      <c r="A49" s="45" t="s">
        <v>132</v>
      </c>
      <c r="B49" s="48">
        <v>0.0</v>
      </c>
      <c r="C49" s="48">
        <v>65000.0</v>
      </c>
      <c r="D49" s="48">
        <v>75000.0</v>
      </c>
      <c r="E49" s="48">
        <v>85000.0</v>
      </c>
      <c r="F49" s="48" t="s">
        <v>133</v>
      </c>
    </row>
    <row r="50" ht="15.75" customHeight="1" outlineLevel="1">
      <c r="A50" s="43" t="s">
        <v>134</v>
      </c>
      <c r="B50" s="47">
        <v>0.0</v>
      </c>
      <c r="C50" s="47">
        <v>55000.0</v>
      </c>
      <c r="D50" s="47">
        <v>55000.0</v>
      </c>
      <c r="E50" s="47">
        <v>65000.0</v>
      </c>
      <c r="F50" s="47" t="s">
        <v>135</v>
      </c>
    </row>
    <row r="51" ht="15.75" customHeight="1" outlineLevel="1">
      <c r="A51" s="45" t="s">
        <v>136</v>
      </c>
      <c r="B51" s="48">
        <v>0.0</v>
      </c>
      <c r="C51" s="48">
        <v>0.0</v>
      </c>
      <c r="D51" s="48">
        <v>45000.0</v>
      </c>
      <c r="E51" s="48">
        <v>55000.0</v>
      </c>
      <c r="F51" s="48" t="s">
        <v>137</v>
      </c>
    </row>
    <row r="52" ht="15.75" customHeight="1" outlineLevel="1">
      <c r="A52" s="43" t="s">
        <v>138</v>
      </c>
      <c r="B52" s="47">
        <v>0.0</v>
      </c>
      <c r="C52" s="47">
        <v>0.0</v>
      </c>
      <c r="D52" s="47">
        <v>0.0</v>
      </c>
      <c r="E52" s="47">
        <v>45000.0</v>
      </c>
      <c r="F52" s="47" t="s">
        <v>139</v>
      </c>
    </row>
    <row r="53" ht="15.75" customHeight="1">
      <c r="A53" s="8" t="s">
        <v>140</v>
      </c>
      <c r="B53" s="51">
        <v>2469.0</v>
      </c>
      <c r="C53" s="51">
        <v>40000.0</v>
      </c>
      <c r="D53" s="51">
        <v>55000.0</v>
      </c>
      <c r="E53" s="51">
        <v>80000.0</v>
      </c>
      <c r="F53" s="51" t="s">
        <v>141</v>
      </c>
    </row>
    <row r="54" ht="15.75" customHeight="1">
      <c r="A54" s="6" t="s">
        <v>142</v>
      </c>
      <c r="B54" s="50">
        <v>25000.0</v>
      </c>
      <c r="C54" s="50">
        <v>70000.0</v>
      </c>
      <c r="D54" s="50">
        <v>104000.0</v>
      </c>
      <c r="E54" s="50">
        <v>132000.0</v>
      </c>
      <c r="F54" s="50" t="s">
        <v>143</v>
      </c>
    </row>
    <row r="55" ht="15.75" customHeight="1">
      <c r="A55" s="8" t="s">
        <v>144</v>
      </c>
      <c r="B55" s="51">
        <v>15994.0</v>
      </c>
      <c r="C55" s="51">
        <v>25000.0</v>
      </c>
      <c r="D55" s="51">
        <v>30000.0</v>
      </c>
      <c r="E55" s="51">
        <v>40000.0</v>
      </c>
      <c r="F55" s="51" t="s">
        <v>145</v>
      </c>
    </row>
    <row r="56" ht="15.75" customHeight="1">
      <c r="A56" s="6" t="s">
        <v>146</v>
      </c>
      <c r="B56" s="50">
        <v>8197.0</v>
      </c>
      <c r="C56" s="50">
        <v>25000.0</v>
      </c>
      <c r="D56" s="50">
        <v>35000.0</v>
      </c>
      <c r="E56" s="50">
        <v>50000.0</v>
      </c>
      <c r="F56" s="50" t="s">
        <v>147</v>
      </c>
    </row>
    <row r="57" ht="15.75" customHeight="1">
      <c r="A57" s="4" t="s">
        <v>148</v>
      </c>
      <c r="B57" s="42">
        <f t="shared" ref="B57:E57" si="13">SUM(B58:B62)</f>
        <v>5087</v>
      </c>
      <c r="C57" s="42">
        <f t="shared" si="13"/>
        <v>80000</v>
      </c>
      <c r="D57" s="42">
        <f t="shared" si="13"/>
        <v>100000</v>
      </c>
      <c r="E57" s="42">
        <f t="shared" si="13"/>
        <v>150000</v>
      </c>
      <c r="F57" s="42" t="s">
        <v>149</v>
      </c>
    </row>
    <row r="58" ht="15.75" customHeight="1" outlineLevel="1">
      <c r="A58" s="43" t="s">
        <v>150</v>
      </c>
      <c r="B58" s="47">
        <v>1500.0</v>
      </c>
      <c r="C58" s="47">
        <v>15000.0</v>
      </c>
      <c r="D58" s="47">
        <v>20000.0</v>
      </c>
      <c r="E58" s="47">
        <v>30000.0</v>
      </c>
      <c r="F58" s="47" t="s">
        <v>151</v>
      </c>
    </row>
    <row r="59" ht="15.75" customHeight="1" outlineLevel="1">
      <c r="A59" s="45" t="s">
        <v>152</v>
      </c>
      <c r="B59" s="48">
        <v>1000.0</v>
      </c>
      <c r="C59" s="48">
        <v>20000.0</v>
      </c>
      <c r="D59" s="48">
        <v>25000.0</v>
      </c>
      <c r="E59" s="48">
        <v>35000.0</v>
      </c>
      <c r="F59" s="48" t="s">
        <v>153</v>
      </c>
    </row>
    <row r="60" ht="15.75" customHeight="1" outlineLevel="1">
      <c r="A60" s="43" t="s">
        <v>154</v>
      </c>
      <c r="B60" s="47">
        <v>500.0</v>
      </c>
      <c r="C60" s="47">
        <v>25000.0</v>
      </c>
      <c r="D60" s="47">
        <v>30000.0</v>
      </c>
      <c r="E60" s="47">
        <v>45000.0</v>
      </c>
      <c r="F60" s="47" t="s">
        <v>155</v>
      </c>
    </row>
    <row r="61" ht="15.75" customHeight="1" outlineLevel="1">
      <c r="A61" s="45" t="s">
        <v>156</v>
      </c>
      <c r="B61" s="48">
        <v>1087.0</v>
      </c>
      <c r="C61" s="48">
        <v>15000.0</v>
      </c>
      <c r="D61" s="48">
        <v>20000.0</v>
      </c>
      <c r="E61" s="48">
        <v>30000.0</v>
      </c>
      <c r="F61" s="48" t="s">
        <v>157</v>
      </c>
    </row>
    <row r="62" ht="15.75" customHeight="1" outlineLevel="1">
      <c r="A62" s="43" t="s">
        <v>158</v>
      </c>
      <c r="B62" s="47">
        <v>1000.0</v>
      </c>
      <c r="C62" s="47">
        <v>5000.0</v>
      </c>
      <c r="D62" s="47">
        <v>5000.0</v>
      </c>
      <c r="E62" s="47">
        <v>10000.0</v>
      </c>
      <c r="F62" s="47" t="s">
        <v>159</v>
      </c>
    </row>
    <row r="63" ht="15.75" customHeight="1">
      <c r="A63" s="8" t="s">
        <v>160</v>
      </c>
      <c r="B63" s="51">
        <v>3825.0</v>
      </c>
      <c r="C63" s="51">
        <v>20000.0</v>
      </c>
      <c r="D63" s="51">
        <v>25000.0</v>
      </c>
      <c r="E63" s="51">
        <v>35000.0</v>
      </c>
      <c r="F63" s="51" t="s">
        <v>161</v>
      </c>
    </row>
    <row r="64" ht="15.75" customHeight="1">
      <c r="A64" s="6" t="s">
        <v>162</v>
      </c>
      <c r="B64" s="50">
        <v>12116.0</v>
      </c>
      <c r="C64" s="50">
        <v>25000.0</v>
      </c>
      <c r="D64" s="50">
        <v>30000.0</v>
      </c>
      <c r="E64" s="50">
        <v>40000.0</v>
      </c>
      <c r="F64" s="50" t="s">
        <v>163</v>
      </c>
    </row>
    <row r="65" ht="15.75" customHeight="1">
      <c r="A65" s="8" t="s">
        <v>164</v>
      </c>
      <c r="B65" s="51">
        <v>5341.0</v>
      </c>
      <c r="C65" s="51">
        <v>25000.0</v>
      </c>
      <c r="D65" s="51">
        <v>40000.0</v>
      </c>
      <c r="E65" s="51">
        <v>60000.0</v>
      </c>
      <c r="F65" s="51" t="s">
        <v>165</v>
      </c>
    </row>
    <row r="66" ht="15.75" customHeight="1">
      <c r="A66" s="6" t="s">
        <v>166</v>
      </c>
      <c r="B66" s="50">
        <v>5244.0</v>
      </c>
      <c r="C66" s="50">
        <v>10000.0</v>
      </c>
      <c r="D66" s="50">
        <v>15000.0</v>
      </c>
      <c r="E66" s="50">
        <v>20000.0</v>
      </c>
      <c r="F66" s="50" t="s">
        <v>167</v>
      </c>
    </row>
    <row r="67" ht="15.75" customHeight="1">
      <c r="A67" s="8" t="s">
        <v>168</v>
      </c>
      <c r="B67" s="51">
        <v>9116.0</v>
      </c>
      <c r="C67" s="51">
        <v>25000.0</v>
      </c>
      <c r="D67" s="51">
        <v>35000.0</v>
      </c>
      <c r="E67" s="51">
        <v>50000.0</v>
      </c>
      <c r="F67" s="51" t="s">
        <v>169</v>
      </c>
    </row>
    <row r="68" ht="15.75" customHeight="1">
      <c r="A68" s="10" t="s">
        <v>170</v>
      </c>
      <c r="B68" s="49">
        <f t="shared" ref="B68:E68" si="14">B47+B53+B54+B55+B56+B57+B63+B64+B65+B66+B67</f>
        <v>100300</v>
      </c>
      <c r="C68" s="49">
        <f t="shared" si="14"/>
        <v>565000</v>
      </c>
      <c r="D68" s="49">
        <f t="shared" si="14"/>
        <v>764000</v>
      </c>
      <c r="E68" s="49">
        <f t="shared" si="14"/>
        <v>1047000</v>
      </c>
      <c r="F68" s="49"/>
    </row>
    <row r="69" ht="15.75" customHeight="1"/>
    <row r="70" ht="15.75" customHeight="1">
      <c r="A70" s="16" t="s">
        <v>171</v>
      </c>
      <c r="B70" s="17"/>
      <c r="C70" s="17"/>
      <c r="D70" s="17"/>
      <c r="E70" s="17"/>
      <c r="F70" s="17"/>
    </row>
    <row r="71" ht="15.75" customHeight="1">
      <c r="A71" s="8" t="s">
        <v>172</v>
      </c>
      <c r="B71" s="9">
        <v>0.0</v>
      </c>
      <c r="C71" s="9">
        <f>Dashboard!B26</f>
        <v>500000</v>
      </c>
      <c r="D71" s="9">
        <v>0.0</v>
      </c>
      <c r="E71" s="9">
        <v>0.0</v>
      </c>
      <c r="F71" s="9" t="s">
        <v>173</v>
      </c>
    </row>
    <row r="72" ht="15.75" customHeight="1">
      <c r="A72" s="6" t="s">
        <v>174</v>
      </c>
      <c r="B72" s="54">
        <v>5000.0</v>
      </c>
      <c r="C72" s="54">
        <f>Projections!B48</f>
        <v>97148.167</v>
      </c>
      <c r="D72" s="54">
        <f>Projections!C48</f>
        <v>190354.46</v>
      </c>
      <c r="E72" s="54">
        <f>Projections!D48</f>
        <v>97515.31991</v>
      </c>
      <c r="F72" s="54" t="s">
        <v>175</v>
      </c>
    </row>
    <row r="73" ht="15.75" customHeight="1"/>
    <row r="74" ht="15.75" customHeight="1">
      <c r="A74" s="16" t="s">
        <v>176</v>
      </c>
      <c r="B74" s="17"/>
      <c r="C74" s="17"/>
      <c r="D74" s="17"/>
      <c r="E74" s="17"/>
      <c r="F74" s="17"/>
    </row>
    <row r="75" ht="15.75" customHeight="1">
      <c r="A75" s="8" t="s">
        <v>177</v>
      </c>
      <c r="B75" s="55">
        <f t="shared" ref="B75:E75" si="15">B8+B10+B12+B14</f>
        <v>132</v>
      </c>
      <c r="C75" s="55">
        <f t="shared" si="15"/>
        <v>515</v>
      </c>
      <c r="D75" s="55">
        <f t="shared" si="15"/>
        <v>1650</v>
      </c>
      <c r="E75" s="55">
        <f t="shared" si="15"/>
        <v>3600</v>
      </c>
      <c r="F75" s="55" t="s">
        <v>178</v>
      </c>
    </row>
    <row r="76" ht="15.75" customHeight="1">
      <c r="A76" s="6" t="s">
        <v>179</v>
      </c>
      <c r="B76" s="56">
        <f t="shared" ref="B76:E76" si="16">B18+B20+B22</f>
        <v>4</v>
      </c>
      <c r="C76" s="56">
        <f t="shared" si="16"/>
        <v>6</v>
      </c>
      <c r="D76" s="56">
        <f t="shared" si="16"/>
        <v>15</v>
      </c>
      <c r="E76" s="56">
        <f t="shared" si="16"/>
        <v>33</v>
      </c>
      <c r="F76" s="56"/>
    </row>
    <row r="77" ht="15.75" customHeight="1">
      <c r="A77" s="8" t="s">
        <v>17</v>
      </c>
      <c r="B77" s="57">
        <v>10000.0</v>
      </c>
      <c r="C77" s="57">
        <v>25000.0</v>
      </c>
      <c r="D77" s="57">
        <v>60000.0</v>
      </c>
      <c r="E77" s="57">
        <v>120000.0</v>
      </c>
      <c r="F77" s="57"/>
    </row>
    <row r="78" ht="15.75" customHeight="1">
      <c r="A78" s="6" t="s">
        <v>180</v>
      </c>
      <c r="B78" s="52">
        <v>0.014</v>
      </c>
      <c r="C78" s="52">
        <v>0.024</v>
      </c>
      <c r="D78" s="52">
        <v>0.033</v>
      </c>
      <c r="E78" s="52">
        <v>0.042</v>
      </c>
      <c r="F78" s="52"/>
    </row>
    <row r="79" ht="15.75" customHeight="1">
      <c r="A79" s="8" t="s">
        <v>181</v>
      </c>
      <c r="B79" s="58">
        <v>0.0</v>
      </c>
      <c r="C79" s="58">
        <v>55.0</v>
      </c>
      <c r="D79" s="58">
        <v>50.0</v>
      </c>
      <c r="E79" s="58">
        <v>45.0</v>
      </c>
      <c r="F79" s="58"/>
    </row>
    <row r="80" ht="15.75" customHeight="1">
      <c r="A80" s="6" t="s">
        <v>182</v>
      </c>
      <c r="B80" s="52">
        <v>0.03</v>
      </c>
      <c r="C80" s="52">
        <v>0.025</v>
      </c>
      <c r="D80" s="52">
        <v>0.02</v>
      </c>
      <c r="E80" s="52">
        <v>0.018</v>
      </c>
      <c r="F80" s="52"/>
    </row>
    <row r="81" ht="15.75" customHeight="1">
      <c r="A81" s="8" t="s">
        <v>183</v>
      </c>
      <c r="B81" s="59">
        <f t="shared" ref="B81:E81" si="17">IF(AND(B80&gt;0,B75&gt;0),B7/B75/12/B80,0)</f>
        <v>383.6279461</v>
      </c>
      <c r="C81" s="59">
        <f t="shared" si="17"/>
        <v>384.1165049</v>
      </c>
      <c r="D81" s="59">
        <f t="shared" si="17"/>
        <v>519.0151515</v>
      </c>
      <c r="E81" s="59">
        <f t="shared" si="17"/>
        <v>646.2191358</v>
      </c>
      <c r="F81" s="59"/>
    </row>
    <row r="82" ht="15.75" customHeight="1">
      <c r="A82" s="6" t="s">
        <v>184</v>
      </c>
      <c r="B82" s="60">
        <f t="shared" ref="B82:E82" si="18">IF(B79&gt;0,B81/B79,0)</f>
        <v>0</v>
      </c>
      <c r="C82" s="60">
        <f t="shared" si="18"/>
        <v>6.983936452</v>
      </c>
      <c r="D82" s="60">
        <f t="shared" si="18"/>
        <v>10.38030303</v>
      </c>
      <c r="E82" s="60">
        <f t="shared" si="18"/>
        <v>14.36042524</v>
      </c>
      <c r="F82" s="60"/>
    </row>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B3533"/>
    <pageSetUpPr/>
  </sheetPr>
  <sheetViews>
    <sheetView workbookViewId="0"/>
  </sheetViews>
  <sheetFormatPr customHeight="1" defaultColWidth="14.43" defaultRowHeight="15.0"/>
  <cols>
    <col customWidth="1" min="1" max="1" width="35.0"/>
    <col customWidth="1" min="2" max="5" width="18.0"/>
    <col customWidth="1" min="6" max="26" width="8.71"/>
  </cols>
  <sheetData>
    <row r="1">
      <c r="A1" s="1" t="s">
        <v>185</v>
      </c>
    </row>
    <row r="2">
      <c r="A2" s="2" t="s">
        <v>186</v>
      </c>
    </row>
    <row r="4">
      <c r="A4" s="3"/>
      <c r="B4" s="3" t="s">
        <v>187</v>
      </c>
      <c r="C4" s="3" t="s">
        <v>65</v>
      </c>
      <c r="D4" s="3" t="s">
        <v>188</v>
      </c>
      <c r="E4" s="3" t="s">
        <v>189</v>
      </c>
    </row>
    <row r="5">
      <c r="A5" s="16" t="s">
        <v>190</v>
      </c>
      <c r="B5" s="17"/>
      <c r="C5" s="17"/>
      <c r="D5" s="17"/>
      <c r="E5" s="17"/>
    </row>
    <row r="6">
      <c r="A6" s="6" t="s">
        <v>191</v>
      </c>
      <c r="B6" s="50">
        <v>29832.0</v>
      </c>
      <c r="C6" s="50">
        <v>47594.0</v>
      </c>
      <c r="D6" s="61">
        <f t="shared" ref="D6:D11" si="1">IF(B6&gt;0,(C6-B6)/B6,IF(C6&gt;0,1,0))</f>
        <v>0.5954009118</v>
      </c>
      <c r="E6" s="50" t="s">
        <v>192</v>
      </c>
    </row>
    <row r="7">
      <c r="A7" s="8" t="s">
        <v>193</v>
      </c>
      <c r="B7" s="51">
        <v>2520.0</v>
      </c>
      <c r="C7" s="51">
        <v>26296.0</v>
      </c>
      <c r="D7" s="62">
        <f t="shared" si="1"/>
        <v>9.434920635</v>
      </c>
      <c r="E7" s="51" t="s">
        <v>192</v>
      </c>
    </row>
    <row r="8">
      <c r="A8" s="6" t="s">
        <v>122</v>
      </c>
      <c r="B8" s="50">
        <v>20667.0</v>
      </c>
      <c r="C8" s="50">
        <v>48405.0</v>
      </c>
      <c r="D8" s="61">
        <f t="shared" si="1"/>
        <v>1.342139643</v>
      </c>
      <c r="E8" s="50" t="s">
        <v>192</v>
      </c>
    </row>
    <row r="9">
      <c r="A9" s="8" t="s">
        <v>194</v>
      </c>
      <c r="B9" s="51">
        <v>0.0</v>
      </c>
      <c r="C9" s="51">
        <v>18230.0</v>
      </c>
      <c r="D9" s="62">
        <f t="shared" si="1"/>
        <v>1</v>
      </c>
      <c r="E9" s="51" t="s">
        <v>192</v>
      </c>
    </row>
    <row r="10">
      <c r="A10" s="6" t="s">
        <v>195</v>
      </c>
      <c r="B10" s="50">
        <v>0.0</v>
      </c>
      <c r="C10" s="50">
        <v>2000.0</v>
      </c>
      <c r="D10" s="61">
        <f t="shared" si="1"/>
        <v>1</v>
      </c>
      <c r="E10" s="50" t="s">
        <v>192</v>
      </c>
    </row>
    <row r="11">
      <c r="A11" s="8" t="s">
        <v>196</v>
      </c>
      <c r="B11" s="51">
        <v>0.0</v>
      </c>
      <c r="C11" s="51">
        <v>69656.0</v>
      </c>
      <c r="D11" s="62">
        <f t="shared" si="1"/>
        <v>1</v>
      </c>
      <c r="E11" s="51" t="s">
        <v>192</v>
      </c>
    </row>
    <row r="12">
      <c r="A12" s="10" t="s">
        <v>6</v>
      </c>
      <c r="B12" s="49">
        <f t="shared" ref="B12:C12" si="2">SUM(B6:B11)</f>
        <v>53019</v>
      </c>
      <c r="C12" s="49">
        <f t="shared" si="2"/>
        <v>212181</v>
      </c>
      <c r="D12" s="63">
        <f>IF(B12&gt;0,(C12-B12)/B12,0)</f>
        <v>3.001980422</v>
      </c>
      <c r="E12" s="49"/>
    </row>
    <row r="14">
      <c r="A14" s="16" t="s">
        <v>197</v>
      </c>
      <c r="B14" s="17"/>
      <c r="C14" s="17"/>
      <c r="D14" s="17"/>
      <c r="E14" s="17"/>
    </row>
    <row r="15">
      <c r="A15" s="8" t="s">
        <v>198</v>
      </c>
      <c r="B15" s="51">
        <v>432.0</v>
      </c>
      <c r="C15" s="51">
        <v>19684.0</v>
      </c>
      <c r="D15" s="51"/>
      <c r="E15" s="51" t="s">
        <v>192</v>
      </c>
    </row>
    <row r="17">
      <c r="A17" s="16" t="s">
        <v>199</v>
      </c>
      <c r="B17" s="17"/>
      <c r="C17" s="17"/>
      <c r="D17" s="17"/>
      <c r="E17" s="17"/>
    </row>
    <row r="18">
      <c r="A18" s="10" t="s">
        <v>8</v>
      </c>
      <c r="B18" s="49">
        <f t="shared" ref="B18:C18" si="3">B12-B15</f>
        <v>52587</v>
      </c>
      <c r="C18" s="49">
        <f t="shared" si="3"/>
        <v>192497</v>
      </c>
      <c r="D18" s="49"/>
      <c r="E18" s="49"/>
    </row>
    <row r="19">
      <c r="A19" s="8" t="s">
        <v>9</v>
      </c>
      <c r="B19" s="62">
        <f t="shared" ref="B19:C19" si="4">IF(B12&gt;0,B18/B12,0)</f>
        <v>0.9918519776</v>
      </c>
      <c r="C19" s="62">
        <f t="shared" si="4"/>
        <v>0.9072301478</v>
      </c>
      <c r="D19" s="62"/>
      <c r="E19" s="62"/>
    </row>
    <row r="21" ht="15.75" customHeight="1">
      <c r="A21" s="8" t="s">
        <v>170</v>
      </c>
      <c r="B21" s="51">
        <v>53967.0</v>
      </c>
      <c r="C21" s="51">
        <v>100299.0</v>
      </c>
      <c r="D21" s="51"/>
      <c r="E21" s="51" t="s">
        <v>192</v>
      </c>
    </row>
    <row r="22" ht="15.75" customHeight="1">
      <c r="A22" s="6" t="s">
        <v>200</v>
      </c>
      <c r="B22" s="61">
        <f t="shared" ref="B22:C22" si="5">IF(B12&gt;0,B21/B12,0)</f>
        <v>1.017880383</v>
      </c>
      <c r="C22" s="61">
        <f t="shared" si="5"/>
        <v>0.4727049076</v>
      </c>
      <c r="D22" s="61"/>
      <c r="E22" s="61"/>
    </row>
    <row r="23" ht="15.75" customHeight="1"/>
    <row r="24" ht="15.75" customHeight="1">
      <c r="A24" s="10" t="s">
        <v>201</v>
      </c>
      <c r="B24" s="49">
        <f t="shared" ref="B24:C24" si="6">B18-B21</f>
        <v>-1380</v>
      </c>
      <c r="C24" s="49">
        <f t="shared" si="6"/>
        <v>92198</v>
      </c>
      <c r="D24" s="49"/>
      <c r="E24" s="49"/>
    </row>
    <row r="25" ht="15.75" customHeight="1">
      <c r="A25" s="8" t="s">
        <v>202</v>
      </c>
      <c r="B25" s="51">
        <v>101.0</v>
      </c>
      <c r="C25" s="51">
        <v>233.0</v>
      </c>
      <c r="D25" s="51"/>
      <c r="E25" s="51"/>
    </row>
    <row r="26" ht="15.75" customHeight="1"/>
    <row r="27" ht="15.75" customHeight="1">
      <c r="A27" s="16" t="s">
        <v>203</v>
      </c>
      <c r="B27" s="17"/>
      <c r="C27" s="17"/>
      <c r="D27" s="17"/>
      <c r="E27" s="17"/>
    </row>
    <row r="28" ht="15.75" customHeight="1">
      <c r="A28" s="10" t="s">
        <v>13</v>
      </c>
      <c r="B28" s="49">
        <f t="shared" ref="B28:C28" si="7">B24-B25</f>
        <v>-1481</v>
      </c>
      <c r="C28" s="49">
        <f t="shared" si="7"/>
        <v>91965</v>
      </c>
      <c r="D28" s="63">
        <f>IF(ABS(B28)&gt;0,(C28-B28)/ABS(B28),0)</f>
        <v>63.09655638</v>
      </c>
      <c r="E28" s="49"/>
    </row>
    <row r="29" ht="15.75" customHeight="1">
      <c r="A29" s="8" t="s">
        <v>204</v>
      </c>
      <c r="B29" s="62">
        <f t="shared" ref="B29:C29" si="8">IF(B12&gt;0,B28/B12,0)</f>
        <v>-0.02793338237</v>
      </c>
      <c r="C29" s="62">
        <f t="shared" si="8"/>
        <v>0.4334271212</v>
      </c>
      <c r="D29" s="62"/>
      <c r="E29" s="6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57028"/>
    <pageSetUpPr/>
  </sheetPr>
  <sheetViews>
    <sheetView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4.43" defaultRowHeight="15.0"/>
  <cols>
    <col customWidth="1" min="1" max="1" width="32.0"/>
    <col customWidth="1" min="2" max="13" width="12.0"/>
    <col customWidth="1" min="14" max="15" width="14.0"/>
    <col customWidth="1" min="16" max="26" width="8.71"/>
  </cols>
  <sheetData>
    <row r="1">
      <c r="A1" s="1" t="s">
        <v>205</v>
      </c>
    </row>
    <row r="2">
      <c r="A2" s="2" t="s">
        <v>206</v>
      </c>
    </row>
    <row r="4">
      <c r="A4" s="3"/>
      <c r="B4" s="64" t="s">
        <v>207</v>
      </c>
      <c r="C4" s="64" t="s">
        <v>208</v>
      </c>
      <c r="D4" s="64" t="s">
        <v>209</v>
      </c>
      <c r="E4" s="65" t="s">
        <v>210</v>
      </c>
      <c r="F4" s="65" t="s">
        <v>211</v>
      </c>
      <c r="G4" s="65" t="s">
        <v>212</v>
      </c>
      <c r="H4" s="65" t="s">
        <v>213</v>
      </c>
      <c r="I4" s="65" t="s">
        <v>214</v>
      </c>
      <c r="J4" s="65" t="s">
        <v>215</v>
      </c>
      <c r="K4" s="65" t="s">
        <v>216</v>
      </c>
      <c r="L4" s="65" t="s">
        <v>217</v>
      </c>
      <c r="M4" s="65" t="s">
        <v>218</v>
      </c>
      <c r="N4" s="3" t="s">
        <v>219</v>
      </c>
      <c r="O4" s="3" t="s">
        <v>220</v>
      </c>
    </row>
    <row r="5">
      <c r="A5" s="16" t="s">
        <v>190</v>
      </c>
      <c r="B5" s="17"/>
      <c r="C5" s="17"/>
      <c r="D5" s="17"/>
      <c r="E5" s="17"/>
      <c r="F5" s="17"/>
      <c r="G5" s="17"/>
      <c r="H5" s="17"/>
      <c r="I5" s="17"/>
      <c r="J5" s="17"/>
      <c r="K5" s="17"/>
      <c r="L5" s="17"/>
      <c r="M5" s="17"/>
      <c r="N5" s="17"/>
      <c r="O5" s="17"/>
    </row>
    <row r="6">
      <c r="A6" s="66" t="s">
        <v>194</v>
      </c>
      <c r="B6" s="67">
        <v>1886.0</v>
      </c>
      <c r="C6" s="67">
        <v>1886.0</v>
      </c>
      <c r="D6" s="67">
        <v>1886.0</v>
      </c>
      <c r="E6" s="68">
        <f>(Assumptions!C7-SUM($B6:$D6))*2200/39900</f>
        <v>2960.240602</v>
      </c>
      <c r="F6" s="68">
        <f>(Assumptions!C7-SUM($B6:$D6))*2500/39900</f>
        <v>3363.909774</v>
      </c>
      <c r="G6" s="68">
        <f>(Assumptions!C7-SUM($B6:$D6))*3000/39900</f>
        <v>4036.691729</v>
      </c>
      <c r="H6" s="68">
        <f>(Assumptions!C7-SUM($B6:$D6))*3500/39900</f>
        <v>4709.473684</v>
      </c>
      <c r="I6" s="68">
        <f>(Assumptions!C7-SUM($B6:$D6))*4200/39900</f>
        <v>5651.368421</v>
      </c>
      <c r="J6" s="68">
        <f>(Assumptions!C7-SUM($B6:$D6))*5000/39900</f>
        <v>6727.819549</v>
      </c>
      <c r="K6" s="68">
        <f>(Assumptions!C7-SUM($B6:$D6))*5800/39900</f>
        <v>7804.270677</v>
      </c>
      <c r="L6" s="68">
        <f>(Assumptions!C7-SUM($B6:$D6))*6500/39900</f>
        <v>8746.165414</v>
      </c>
      <c r="M6" s="68">
        <f>(Assumptions!C7-SUM($B6:$D6))*7200/39900</f>
        <v>9688.06015</v>
      </c>
      <c r="N6" s="69">
        <f t="shared" ref="N6:N11" si="1">SUM(B6:D6)</f>
        <v>5658</v>
      </c>
      <c r="O6" s="69">
        <f t="shared" ref="O6:O11" si="2">SUM(B6:M6)</f>
        <v>59346</v>
      </c>
    </row>
    <row r="7">
      <c r="A7" s="66" t="s">
        <v>221</v>
      </c>
      <c r="B7" s="67">
        <v>4000.0</v>
      </c>
      <c r="C7" s="67">
        <v>3500.0</v>
      </c>
      <c r="D7" s="67">
        <v>14000.0</v>
      </c>
      <c r="E7" s="68">
        <f>(Assumptions!C17-SUM($B7:$D7))*3500/49000</f>
        <v>4107.142857</v>
      </c>
      <c r="F7" s="68">
        <f>(Assumptions!C17-SUM($B7:$D7))*3500/49000</f>
        <v>4107.142857</v>
      </c>
      <c r="G7" s="68">
        <f>(Assumptions!C17-SUM($B7:$D7))*4500/49000</f>
        <v>5280.612245</v>
      </c>
      <c r="H7" s="68">
        <f>(Assumptions!C17-SUM($B7:$D7))*5000/49000</f>
        <v>5867.346939</v>
      </c>
      <c r="I7" s="68">
        <f>(Assumptions!C17-SUM($B7:$D7))*5500/49000</f>
        <v>6454.081633</v>
      </c>
      <c r="J7" s="68">
        <f>(Assumptions!C17-SUM($B7:$D7))*6000/49000</f>
        <v>7040.816327</v>
      </c>
      <c r="K7" s="68">
        <f>(Assumptions!C17-SUM($B7:$D7))*6500/49000</f>
        <v>7627.55102</v>
      </c>
      <c r="L7" s="68">
        <f>(Assumptions!C17-SUM($B7:$D7))*7000/49000</f>
        <v>8214.285714</v>
      </c>
      <c r="M7" s="68">
        <f>(Assumptions!C17-SUM($B7:$D7))*7500/49000</f>
        <v>8801.020408</v>
      </c>
      <c r="N7" s="69">
        <f t="shared" si="1"/>
        <v>21500</v>
      </c>
      <c r="O7" s="69">
        <f t="shared" si="2"/>
        <v>79000</v>
      </c>
    </row>
    <row r="8">
      <c r="A8" s="66" t="s">
        <v>222</v>
      </c>
      <c r="B8" s="67">
        <v>3958.0</v>
      </c>
      <c r="C8" s="67">
        <v>3914.0</v>
      </c>
      <c r="D8" s="67">
        <v>0.0</v>
      </c>
      <c r="E8" s="68">
        <v>0.0</v>
      </c>
      <c r="F8" s="68">
        <v>0.0</v>
      </c>
      <c r="G8" s="68">
        <f>(Assumptions!C25-SUM($B8:$D8))*28000/52000</f>
        <v>49607.38462</v>
      </c>
      <c r="H8" s="68">
        <v>0.0</v>
      </c>
      <c r="I8" s="68">
        <v>0.0</v>
      </c>
      <c r="J8" s="68">
        <f>(Assumptions!C25-SUM($B8:$D8))*14000/52000</f>
        <v>24803.69231</v>
      </c>
      <c r="K8" s="68">
        <v>0.0</v>
      </c>
      <c r="L8" s="68">
        <f>(Assumptions!C25-SUM($B8:$D8))*10000/52000</f>
        <v>17716.92308</v>
      </c>
      <c r="M8" s="68">
        <v>0.0</v>
      </c>
      <c r="N8" s="69">
        <f t="shared" si="1"/>
        <v>7872</v>
      </c>
      <c r="O8" s="69">
        <f t="shared" si="2"/>
        <v>100000</v>
      </c>
    </row>
    <row r="9">
      <c r="A9" s="66" t="s">
        <v>223</v>
      </c>
      <c r="B9" s="67">
        <v>0.0</v>
      </c>
      <c r="C9" s="67">
        <v>0.0</v>
      </c>
      <c r="D9" s="67">
        <v>0.0</v>
      </c>
      <c r="E9" s="68">
        <f>(Assumptions!C34-SUM($B9:$D9))*5540/50540</f>
        <v>5480.807281</v>
      </c>
      <c r="F9" s="68">
        <f>(Assumptions!C34-SUM($B9:$D9))*2000/50540</f>
        <v>1978.630787</v>
      </c>
      <c r="G9" s="68">
        <f>(Assumptions!C34-SUM($B9:$D9))*5000/50540</f>
        <v>4946.576969</v>
      </c>
      <c r="H9" s="68">
        <f>(Assumptions!C34-SUM($B9:$D9))*5000/50540</f>
        <v>4946.576969</v>
      </c>
      <c r="I9" s="68">
        <f>(Assumptions!C34-SUM($B9:$D9))*5000/50540</f>
        <v>4946.576969</v>
      </c>
      <c r="J9" s="68">
        <f>(Assumptions!C34-SUM($B9:$D9))*8000/50540</f>
        <v>7914.52315</v>
      </c>
      <c r="K9" s="68">
        <f>(Assumptions!C34-SUM($B9:$D9))*5000/50540</f>
        <v>4946.576969</v>
      </c>
      <c r="L9" s="68">
        <f>(Assumptions!C34-SUM($B9:$D9))*8000/50540</f>
        <v>7914.52315</v>
      </c>
      <c r="M9" s="68">
        <f>(Assumptions!C34-SUM($B9:$D9))*7000/50540</f>
        <v>6925.207756</v>
      </c>
      <c r="N9" s="69">
        <f t="shared" si="1"/>
        <v>0</v>
      </c>
      <c r="O9" s="69">
        <f t="shared" si="2"/>
        <v>50000</v>
      </c>
    </row>
    <row r="10">
      <c r="A10" s="66" t="s">
        <v>196</v>
      </c>
      <c r="B10" s="67">
        <v>0.0</v>
      </c>
      <c r="C10" s="67">
        <v>0.0</v>
      </c>
      <c r="D10" s="67">
        <v>0.0</v>
      </c>
      <c r="E10" s="68">
        <v>0.0</v>
      </c>
      <c r="F10" s="68">
        <f>(Assumptions!C40-SUM($B10:$D10))*10000/40000</f>
        <v>10000</v>
      </c>
      <c r="G10" s="68">
        <v>0.0</v>
      </c>
      <c r="H10" s="68">
        <f>(Assumptions!C40-SUM($B10:$D10))*10000/40000</f>
        <v>10000</v>
      </c>
      <c r="I10" s="68">
        <v>0.0</v>
      </c>
      <c r="J10" s="68">
        <f>(Assumptions!C40-SUM($B10:$D10))*10000/40000</f>
        <v>10000</v>
      </c>
      <c r="K10" s="68">
        <v>0.0</v>
      </c>
      <c r="L10" s="68">
        <f>(Assumptions!C40-SUM($B10:$D10))*10000/40000</f>
        <v>10000</v>
      </c>
      <c r="M10" s="68">
        <v>0.0</v>
      </c>
      <c r="N10" s="69">
        <f t="shared" si="1"/>
        <v>0</v>
      </c>
      <c r="O10" s="69">
        <f t="shared" si="2"/>
        <v>40000</v>
      </c>
    </row>
    <row r="11">
      <c r="A11" s="70" t="s">
        <v>6</v>
      </c>
      <c r="B11" s="71">
        <v>9844.0</v>
      </c>
      <c r="C11" s="71">
        <v>9300.0</v>
      </c>
      <c r="D11" s="71">
        <f t="shared" ref="D11:M11" si="3">SUM(D6:D10)</f>
        <v>15886</v>
      </c>
      <c r="E11" s="71">
        <f t="shared" si="3"/>
        <v>12548.19074</v>
      </c>
      <c r="F11" s="71">
        <f t="shared" si="3"/>
        <v>19449.68342</v>
      </c>
      <c r="G11" s="71">
        <f t="shared" si="3"/>
        <v>63871.26556</v>
      </c>
      <c r="H11" s="71">
        <f t="shared" si="3"/>
        <v>25523.39759</v>
      </c>
      <c r="I11" s="71">
        <f t="shared" si="3"/>
        <v>17052.02702</v>
      </c>
      <c r="J11" s="71">
        <f t="shared" si="3"/>
        <v>56486.85133</v>
      </c>
      <c r="K11" s="71">
        <f t="shared" si="3"/>
        <v>20378.39867</v>
      </c>
      <c r="L11" s="71">
        <f t="shared" si="3"/>
        <v>52591.89735</v>
      </c>
      <c r="M11" s="71">
        <f t="shared" si="3"/>
        <v>25414.28831</v>
      </c>
      <c r="N11" s="71">
        <f t="shared" si="1"/>
        <v>35030</v>
      </c>
      <c r="O11" s="71">
        <f t="shared" si="2"/>
        <v>328346</v>
      </c>
    </row>
    <row r="13">
      <c r="A13" s="66" t="s">
        <v>224</v>
      </c>
      <c r="B13" s="67">
        <f t="shared" ref="B13:M13" si="4">-ABS(B11*0.1)</f>
        <v>-984.4</v>
      </c>
      <c r="C13" s="67">
        <f t="shared" si="4"/>
        <v>-930</v>
      </c>
      <c r="D13" s="67">
        <f t="shared" si="4"/>
        <v>-1588.6</v>
      </c>
      <c r="E13" s="68">
        <f t="shared" si="4"/>
        <v>-1254.819074</v>
      </c>
      <c r="F13" s="68">
        <f t="shared" si="4"/>
        <v>-1944.968342</v>
      </c>
      <c r="G13" s="68">
        <f t="shared" si="4"/>
        <v>-6387.126556</v>
      </c>
      <c r="H13" s="68">
        <f t="shared" si="4"/>
        <v>-2552.339759</v>
      </c>
      <c r="I13" s="68">
        <f t="shared" si="4"/>
        <v>-1705.202702</v>
      </c>
      <c r="J13" s="68">
        <f t="shared" si="4"/>
        <v>-5648.685133</v>
      </c>
      <c r="K13" s="68">
        <f t="shared" si="4"/>
        <v>-2037.839867</v>
      </c>
      <c r="L13" s="68">
        <f t="shared" si="4"/>
        <v>-5259.189735</v>
      </c>
      <c r="M13" s="68">
        <f t="shared" si="4"/>
        <v>-2541.428831</v>
      </c>
      <c r="N13" s="69">
        <f>SUM(B13:D13)</f>
        <v>-3503</v>
      </c>
      <c r="O13" s="69">
        <f>SUM(B13:M13)</f>
        <v>-32834.6</v>
      </c>
    </row>
    <row r="14">
      <c r="A14" s="70" t="s">
        <v>8</v>
      </c>
      <c r="B14" s="71">
        <f t="shared" ref="B14:O14" si="5">B11+B13</f>
        <v>8859.6</v>
      </c>
      <c r="C14" s="71">
        <f t="shared" si="5"/>
        <v>8370</v>
      </c>
      <c r="D14" s="71">
        <f t="shared" si="5"/>
        <v>14297.4</v>
      </c>
      <c r="E14" s="71">
        <f t="shared" si="5"/>
        <v>11293.37167</v>
      </c>
      <c r="F14" s="71">
        <f t="shared" si="5"/>
        <v>17504.71508</v>
      </c>
      <c r="G14" s="71">
        <f t="shared" si="5"/>
        <v>57484.139</v>
      </c>
      <c r="H14" s="71">
        <f t="shared" si="5"/>
        <v>22971.05783</v>
      </c>
      <c r="I14" s="71">
        <f t="shared" si="5"/>
        <v>15346.82432</v>
      </c>
      <c r="J14" s="71">
        <f t="shared" si="5"/>
        <v>50838.1662</v>
      </c>
      <c r="K14" s="71">
        <f t="shared" si="5"/>
        <v>18340.5588</v>
      </c>
      <c r="L14" s="71">
        <f t="shared" si="5"/>
        <v>47332.70762</v>
      </c>
      <c r="M14" s="71">
        <f t="shared" si="5"/>
        <v>22872.85948</v>
      </c>
      <c r="N14" s="71">
        <f t="shared" si="5"/>
        <v>31527</v>
      </c>
      <c r="O14" s="71">
        <f t="shared" si="5"/>
        <v>295511.4</v>
      </c>
    </row>
    <row r="16">
      <c r="A16" s="16" t="s">
        <v>225</v>
      </c>
      <c r="B16" s="17"/>
      <c r="C16" s="17"/>
      <c r="D16" s="17"/>
      <c r="E16" s="17"/>
      <c r="F16" s="17"/>
      <c r="G16" s="17"/>
      <c r="H16" s="17"/>
      <c r="I16" s="17"/>
      <c r="J16" s="17"/>
      <c r="K16" s="17"/>
      <c r="L16" s="17"/>
      <c r="M16" s="17"/>
      <c r="N16" s="17"/>
      <c r="O16" s="17"/>
    </row>
    <row r="17">
      <c r="A17" s="66" t="s">
        <v>128</v>
      </c>
      <c r="B17" s="67">
        <v>335.0</v>
      </c>
      <c r="C17" s="67">
        <v>35.0</v>
      </c>
      <c r="D17" s="67">
        <v>660.0</v>
      </c>
      <c r="E17" s="68">
        <f>(Assumptions!C47-SUM($B17:$D17))*660/111075</f>
        <v>1301.104659</v>
      </c>
      <c r="F17" s="68">
        <f>(Assumptions!C47-SUM($B17:$D17))*5000/111075</f>
        <v>9856.853477</v>
      </c>
      <c r="G17" s="68">
        <f>(Assumptions!C47-SUM($B17:$D17))*10417/111075</f>
        <v>20535.76853</v>
      </c>
      <c r="H17" s="68">
        <f>(Assumptions!C47-SUM($B17:$D17))*15833/111075</f>
        <v>31212.71222</v>
      </c>
      <c r="I17" s="68">
        <f>(Assumptions!C47-SUM($B17:$D17))*15833/111075</f>
        <v>31212.71222</v>
      </c>
      <c r="J17" s="68">
        <f>(Assumptions!C47-SUM($B17:$D17))*15833/111075</f>
        <v>31212.71222</v>
      </c>
      <c r="K17" s="68">
        <f>(Assumptions!C47-SUM($B17:$D17))*15833/111075</f>
        <v>31212.71222</v>
      </c>
      <c r="L17" s="68">
        <f>(Assumptions!C47-SUM($B17:$D17))*15833/111075</f>
        <v>31212.71222</v>
      </c>
      <c r="M17" s="68">
        <f>(Assumptions!C47-SUM($B17:$D17))*15833/111075</f>
        <v>31212.71222</v>
      </c>
      <c r="N17" s="69">
        <f t="shared" ref="N17:N25" si="6">SUM(B17:D17)</f>
        <v>1030</v>
      </c>
      <c r="O17" s="69">
        <f t="shared" ref="O17:O25" si="7">SUM(B17:M17)</f>
        <v>220000</v>
      </c>
    </row>
    <row r="18">
      <c r="A18" s="66" t="s">
        <v>140</v>
      </c>
      <c r="B18" s="67">
        <v>800.0</v>
      </c>
      <c r="C18" s="67">
        <v>314.0</v>
      </c>
      <c r="D18" s="67">
        <v>500.0</v>
      </c>
      <c r="E18" s="68">
        <f>(Assumptions!C53-SUM($B18:$D18))*2000/33000</f>
        <v>2326.424242</v>
      </c>
      <c r="F18" s="68">
        <f>(Assumptions!C53-SUM($B18:$D18))*3000/33000</f>
        <v>3489.636364</v>
      </c>
      <c r="G18" s="68">
        <f>(Assumptions!C53-SUM($B18:$D18))*4000/33000</f>
        <v>4652.848485</v>
      </c>
      <c r="H18" s="68">
        <f>(Assumptions!C53-SUM($B18:$D18))*4000/33000</f>
        <v>4652.848485</v>
      </c>
      <c r="I18" s="68">
        <f>(Assumptions!C53-SUM($B18:$D18))*4000/33000</f>
        <v>4652.848485</v>
      </c>
      <c r="J18" s="68">
        <f>(Assumptions!C53-SUM($B18:$D18))*4000/33000</f>
        <v>4652.848485</v>
      </c>
      <c r="K18" s="68">
        <f>(Assumptions!C53-SUM($B18:$D18))*4000/33000</f>
        <v>4652.848485</v>
      </c>
      <c r="L18" s="68">
        <f>(Assumptions!C53-SUM($B18:$D18))*4000/33000</f>
        <v>4652.848485</v>
      </c>
      <c r="M18" s="68">
        <f>(Assumptions!C53-SUM($B18:$D18))*4000/33000</f>
        <v>4652.848485</v>
      </c>
      <c r="N18" s="69">
        <f t="shared" si="6"/>
        <v>1614</v>
      </c>
      <c r="O18" s="69">
        <f t="shared" si="7"/>
        <v>40000</v>
      </c>
    </row>
    <row r="19">
      <c r="A19" s="66" t="s">
        <v>144</v>
      </c>
      <c r="B19" s="67">
        <v>2844.0</v>
      </c>
      <c r="C19" s="67">
        <v>7611.0</v>
      </c>
      <c r="D19" s="67">
        <v>2000.0</v>
      </c>
      <c r="E19" s="68">
        <f>(Assumptions!C55-SUM($B19:$D19))*2000/19200</f>
        <v>1306.770833</v>
      </c>
      <c r="F19" s="68">
        <f>(Assumptions!C55-SUM($B19:$D19))*2000/19200</f>
        <v>1306.770833</v>
      </c>
      <c r="G19" s="68">
        <f>(Assumptions!C55-SUM($B19:$D19))*2000/19200</f>
        <v>1306.770833</v>
      </c>
      <c r="H19" s="68">
        <f>(Assumptions!C55-SUM($B19:$D19))*2200/19200</f>
        <v>1437.447917</v>
      </c>
      <c r="I19" s="68">
        <f>(Assumptions!C55-SUM($B19:$D19))*2200/19200</f>
        <v>1437.447917</v>
      </c>
      <c r="J19" s="68">
        <f>(Assumptions!C55-SUM($B19:$D19))*2200/19200</f>
        <v>1437.447917</v>
      </c>
      <c r="K19" s="68">
        <f>(Assumptions!C55-SUM($B19:$D19))*2200/19200</f>
        <v>1437.447917</v>
      </c>
      <c r="L19" s="68">
        <f>(Assumptions!C55-SUM($B19:$D19))*2200/19200</f>
        <v>1437.447917</v>
      </c>
      <c r="M19" s="68">
        <f>(Assumptions!C55-SUM($B19:$D19))*2200/19200</f>
        <v>1437.447917</v>
      </c>
      <c r="N19" s="69">
        <f t="shared" si="6"/>
        <v>12455</v>
      </c>
      <c r="O19" s="69">
        <f t="shared" si="7"/>
        <v>25000</v>
      </c>
    </row>
    <row r="20">
      <c r="A20" s="66" t="s">
        <v>146</v>
      </c>
      <c r="B20" s="67">
        <v>80.0</v>
      </c>
      <c r="C20" s="67">
        <v>84.0</v>
      </c>
      <c r="D20" s="67">
        <v>100.0</v>
      </c>
      <c r="E20" s="68">
        <f>(Assumptions!C56-SUM($B20:$D20))*1500/21000</f>
        <v>1766.857143</v>
      </c>
      <c r="F20" s="68">
        <f>(Assumptions!C56-SUM($B20:$D20))*2000/21000</f>
        <v>2355.809524</v>
      </c>
      <c r="G20" s="68">
        <f>(Assumptions!C56-SUM($B20:$D20))*2500/21000</f>
        <v>2944.761905</v>
      </c>
      <c r="H20" s="68">
        <f>(Assumptions!C56-SUM($B20:$D20))*2500/21000</f>
        <v>2944.761905</v>
      </c>
      <c r="I20" s="68">
        <f>(Assumptions!C56-SUM($B20:$D20))*2500/21000</f>
        <v>2944.761905</v>
      </c>
      <c r="J20" s="68">
        <f>(Assumptions!C56-SUM($B20:$D20))*2500/21000</f>
        <v>2944.761905</v>
      </c>
      <c r="K20" s="68">
        <f>(Assumptions!C56-SUM($B20:$D20))*2500/21000</f>
        <v>2944.761905</v>
      </c>
      <c r="L20" s="68">
        <f>(Assumptions!C56-SUM($B20:$D20))*2500/21000</f>
        <v>2944.761905</v>
      </c>
      <c r="M20" s="68">
        <f>(Assumptions!C56-SUM($B20:$D20))*2500/21000</f>
        <v>2944.761905</v>
      </c>
      <c r="N20" s="69">
        <f t="shared" si="6"/>
        <v>264</v>
      </c>
      <c r="O20" s="69">
        <f t="shared" si="7"/>
        <v>25000</v>
      </c>
    </row>
    <row r="21" ht="15.75" customHeight="1">
      <c r="A21" s="66" t="s">
        <v>148</v>
      </c>
      <c r="B21" s="67">
        <v>0.0</v>
      </c>
      <c r="C21" s="67">
        <v>0.0</v>
      </c>
      <c r="D21" s="67">
        <v>500.0</v>
      </c>
      <c r="E21" s="68">
        <f>(Assumptions!C57-SUM($B21:$D21))*3000/80000</f>
        <v>2981.25</v>
      </c>
      <c r="F21" s="68">
        <f>(Assumptions!C57-SUM($B21:$D21))*5000/80000</f>
        <v>4968.75</v>
      </c>
      <c r="G21" s="68">
        <f>(Assumptions!C57-SUM($B21:$D21))*8000/80000</f>
        <v>7950</v>
      </c>
      <c r="H21" s="68">
        <f>(Assumptions!C57-SUM($B21:$D21))*8000/80000</f>
        <v>7950</v>
      </c>
      <c r="I21" s="68">
        <f>(Assumptions!C57-SUM($B21:$D21))*10000/80000</f>
        <v>9937.5</v>
      </c>
      <c r="J21" s="68">
        <f>(Assumptions!C57-SUM($B21:$D21))*10000/80000</f>
        <v>9937.5</v>
      </c>
      <c r="K21" s="68">
        <f>(Assumptions!C57-SUM($B21:$D21))*12000/80000</f>
        <v>11925</v>
      </c>
      <c r="L21" s="68">
        <f>(Assumptions!C57-SUM($B21:$D21))*12000/80000</f>
        <v>11925</v>
      </c>
      <c r="M21" s="68">
        <f>(Assumptions!C57-SUM($B21:$D21))*12000/80000</f>
        <v>11925</v>
      </c>
      <c r="N21" s="69">
        <f t="shared" si="6"/>
        <v>500</v>
      </c>
      <c r="O21" s="69">
        <f t="shared" si="7"/>
        <v>80000</v>
      </c>
    </row>
    <row r="22" ht="15.75" customHeight="1">
      <c r="A22" s="66" t="s">
        <v>164</v>
      </c>
      <c r="B22" s="67">
        <v>395.0</v>
      </c>
      <c r="C22" s="67">
        <v>395.0</v>
      </c>
      <c r="D22" s="67">
        <v>400.0</v>
      </c>
      <c r="E22" s="68">
        <f>(Assumptions!C65-SUM($B22:$D22))*400/3600</f>
        <v>2645.555556</v>
      </c>
      <c r="F22" s="68">
        <f>(Assumptions!C65-SUM($B22:$D22))*400/3600</f>
        <v>2645.555556</v>
      </c>
      <c r="G22" s="68">
        <f>(Assumptions!C65-SUM($B22:$D22))*400/3600</f>
        <v>2645.555556</v>
      </c>
      <c r="H22" s="68">
        <f>(Assumptions!C65-SUM($B22:$D22))*400/3600</f>
        <v>2645.555556</v>
      </c>
      <c r="I22" s="68">
        <f>(Assumptions!C65-SUM($B22:$D22))*400/3600</f>
        <v>2645.555556</v>
      </c>
      <c r="J22" s="68">
        <f>(Assumptions!C65-SUM($B22:$D22))*400/3600</f>
        <v>2645.555556</v>
      </c>
      <c r="K22" s="68">
        <f>(Assumptions!C65-SUM($B22:$D22))*400/3600</f>
        <v>2645.555556</v>
      </c>
      <c r="L22" s="68">
        <f>(Assumptions!C65-SUM($B22:$D22))*400/3600</f>
        <v>2645.555556</v>
      </c>
      <c r="M22" s="68">
        <f>(Assumptions!C65-SUM($B22:$D22))*400/3600</f>
        <v>2645.555556</v>
      </c>
      <c r="N22" s="69">
        <f t="shared" si="6"/>
        <v>1190</v>
      </c>
      <c r="O22" s="69">
        <f t="shared" si="7"/>
        <v>25000</v>
      </c>
    </row>
    <row r="23" ht="15.75" customHeight="1">
      <c r="A23" s="66" t="s">
        <v>162</v>
      </c>
      <c r="B23" s="67">
        <v>145.0</v>
      </c>
      <c r="C23" s="67">
        <v>55.0</v>
      </c>
      <c r="D23" s="67">
        <v>200.0</v>
      </c>
      <c r="E23" s="68">
        <f>(Assumptions!C64-SUM($B23:$D23))*500/12500</f>
        <v>984</v>
      </c>
      <c r="F23" s="68">
        <f>(Assumptions!C64-SUM($B23:$D23))*1000/12500</f>
        <v>1968</v>
      </c>
      <c r="G23" s="68">
        <f>(Assumptions!C64-SUM($B23:$D23))*2000/12500</f>
        <v>3936</v>
      </c>
      <c r="H23" s="68">
        <f>(Assumptions!C64-SUM($B23:$D23))*1000/12500</f>
        <v>1968</v>
      </c>
      <c r="I23" s="68">
        <f>(Assumptions!C64-SUM($B23:$D23))*2000/12500</f>
        <v>3936</v>
      </c>
      <c r="J23" s="68">
        <f>(Assumptions!C64-SUM($B23:$D23))*2000/12500</f>
        <v>3936</v>
      </c>
      <c r="K23" s="68">
        <f>(Assumptions!C64-SUM($B23:$D23))*1000/12500</f>
        <v>1968</v>
      </c>
      <c r="L23" s="68">
        <f>(Assumptions!C64-SUM($B23:$D23))*2000/12500</f>
        <v>3936</v>
      </c>
      <c r="M23" s="68">
        <f>(Assumptions!C64-SUM($B23:$D23))*1000/12500</f>
        <v>1968</v>
      </c>
      <c r="N23" s="69">
        <f t="shared" si="6"/>
        <v>400</v>
      </c>
      <c r="O23" s="69">
        <f t="shared" si="7"/>
        <v>25000</v>
      </c>
    </row>
    <row r="24" ht="15.75" customHeight="1">
      <c r="A24" s="66" t="s">
        <v>226</v>
      </c>
      <c r="B24" s="67">
        <v>0.0</v>
      </c>
      <c r="C24" s="67">
        <v>0.0</v>
      </c>
      <c r="D24" s="67">
        <v>50.0</v>
      </c>
      <c r="E24" s="68">
        <f>(Assumptions!C67-SUM($B24:$D24))*50/850</f>
        <v>1467.647059</v>
      </c>
      <c r="F24" s="68">
        <f>(Assumptions!C67-SUM($B24:$D24))*100/850</f>
        <v>2935.294118</v>
      </c>
      <c r="G24" s="68">
        <f>(Assumptions!C67-SUM($B24:$D24))*100/850</f>
        <v>2935.294118</v>
      </c>
      <c r="H24" s="68">
        <f>(Assumptions!C67-SUM($B24:$D24))*100/850</f>
        <v>2935.294118</v>
      </c>
      <c r="I24" s="68">
        <f>(Assumptions!C67-SUM($B24:$D24))*100/850</f>
        <v>2935.294118</v>
      </c>
      <c r="J24" s="68">
        <f>(Assumptions!C67-SUM($B24:$D24))*100/850</f>
        <v>2935.294118</v>
      </c>
      <c r="K24" s="68">
        <f>(Assumptions!C67-SUM($B24:$D24))*100/850</f>
        <v>2935.294118</v>
      </c>
      <c r="L24" s="68">
        <f>(Assumptions!C67-SUM($B24:$D24))*100/850</f>
        <v>2935.294118</v>
      </c>
      <c r="M24" s="68">
        <f>(Assumptions!C67-SUM($B24:$D24))*100/850</f>
        <v>2935.294118</v>
      </c>
      <c r="N24" s="69">
        <f t="shared" si="6"/>
        <v>50</v>
      </c>
      <c r="O24" s="69">
        <f t="shared" si="7"/>
        <v>25000</v>
      </c>
    </row>
    <row r="25" ht="15.75" customHeight="1">
      <c r="A25" s="70" t="s">
        <v>170</v>
      </c>
      <c r="B25" s="71">
        <v>4599.0</v>
      </c>
      <c r="C25" s="71">
        <v>8495.0</v>
      </c>
      <c r="D25" s="71">
        <f t="shared" ref="D25:M25" si="8">SUM(D17:D24)</f>
        <v>4410</v>
      </c>
      <c r="E25" s="71">
        <f t="shared" si="8"/>
        <v>14779.60949</v>
      </c>
      <c r="F25" s="71">
        <f t="shared" si="8"/>
        <v>29526.66987</v>
      </c>
      <c r="G25" s="71">
        <f t="shared" si="8"/>
        <v>46906.99943</v>
      </c>
      <c r="H25" s="71">
        <f t="shared" si="8"/>
        <v>55746.6202</v>
      </c>
      <c r="I25" s="71">
        <f t="shared" si="8"/>
        <v>59702.1202</v>
      </c>
      <c r="J25" s="71">
        <f t="shared" si="8"/>
        <v>59702.1202</v>
      </c>
      <c r="K25" s="71">
        <f t="shared" si="8"/>
        <v>59721.6202</v>
      </c>
      <c r="L25" s="71">
        <f t="shared" si="8"/>
        <v>61689.6202</v>
      </c>
      <c r="M25" s="71">
        <f t="shared" si="8"/>
        <v>59721.6202</v>
      </c>
      <c r="N25" s="71">
        <f t="shared" si="6"/>
        <v>17504</v>
      </c>
      <c r="O25" s="71">
        <f t="shared" si="7"/>
        <v>465001</v>
      </c>
    </row>
    <row r="26" ht="15.75" customHeight="1"/>
    <row r="27" ht="15.75" customHeight="1">
      <c r="A27" s="16" t="s">
        <v>199</v>
      </c>
      <c r="B27" s="17"/>
      <c r="C27" s="17"/>
      <c r="D27" s="17"/>
      <c r="E27" s="17"/>
      <c r="F27" s="17"/>
      <c r="G27" s="17"/>
      <c r="H27" s="17"/>
      <c r="I27" s="17"/>
      <c r="J27" s="17"/>
      <c r="K27" s="17"/>
      <c r="L27" s="17"/>
      <c r="M27" s="17"/>
      <c r="N27" s="17"/>
      <c r="O27" s="17"/>
    </row>
    <row r="28" ht="15.75" customHeight="1">
      <c r="A28" s="70" t="s">
        <v>201</v>
      </c>
      <c r="B28" s="71">
        <f t="shared" ref="B28:O28" si="9">B14-B25</f>
        <v>4260.6</v>
      </c>
      <c r="C28" s="71">
        <f t="shared" si="9"/>
        <v>-125</v>
      </c>
      <c r="D28" s="71">
        <f t="shared" si="9"/>
        <v>9887.4</v>
      </c>
      <c r="E28" s="71">
        <f t="shared" si="9"/>
        <v>-3486.237826</v>
      </c>
      <c r="F28" s="71">
        <f t="shared" si="9"/>
        <v>-12021.95479</v>
      </c>
      <c r="G28" s="71">
        <f t="shared" si="9"/>
        <v>10577.13957</v>
      </c>
      <c r="H28" s="71">
        <f t="shared" si="9"/>
        <v>-32775.56237</v>
      </c>
      <c r="I28" s="71">
        <f t="shared" si="9"/>
        <v>-44355.29588</v>
      </c>
      <c r="J28" s="71">
        <f t="shared" si="9"/>
        <v>-8863.954001</v>
      </c>
      <c r="K28" s="71">
        <f t="shared" si="9"/>
        <v>-41381.0614</v>
      </c>
      <c r="L28" s="71">
        <f t="shared" si="9"/>
        <v>-14356.91258</v>
      </c>
      <c r="M28" s="71">
        <f t="shared" si="9"/>
        <v>-36848.76072</v>
      </c>
      <c r="N28" s="71">
        <f t="shared" si="9"/>
        <v>14023</v>
      </c>
      <c r="O28" s="71">
        <f t="shared" si="9"/>
        <v>-169489.6</v>
      </c>
    </row>
    <row r="29" ht="15.75" customHeight="1">
      <c r="A29" s="72" t="s">
        <v>11</v>
      </c>
      <c r="B29" s="73">
        <f t="shared" ref="B29:O29" si="10">IF(B11&gt;0,B28/B11,0)</f>
        <v>0.4328118651</v>
      </c>
      <c r="C29" s="73">
        <f t="shared" si="10"/>
        <v>-0.01344086022</v>
      </c>
      <c r="D29" s="73">
        <f t="shared" si="10"/>
        <v>0.6223970792</v>
      </c>
      <c r="E29" s="74">
        <f t="shared" si="10"/>
        <v>-0.2778279274</v>
      </c>
      <c r="F29" s="74">
        <f t="shared" si="10"/>
        <v>-0.6181054229</v>
      </c>
      <c r="G29" s="74">
        <f t="shared" si="10"/>
        <v>0.165600908</v>
      </c>
      <c r="H29" s="74">
        <f t="shared" si="10"/>
        <v>-1.284137907</v>
      </c>
      <c r="I29" s="74">
        <f t="shared" si="10"/>
        <v>-2.601174384</v>
      </c>
      <c r="J29" s="74">
        <f t="shared" si="10"/>
        <v>-0.1569206602</v>
      </c>
      <c r="K29" s="74">
        <f t="shared" si="10"/>
        <v>-2.030633618</v>
      </c>
      <c r="L29" s="74">
        <f t="shared" si="10"/>
        <v>-0.2729871578</v>
      </c>
      <c r="M29" s="74">
        <f t="shared" si="10"/>
        <v>-1.449922983</v>
      </c>
      <c r="N29" s="75">
        <f t="shared" si="10"/>
        <v>0.4003140166</v>
      </c>
      <c r="O29" s="75">
        <f t="shared" si="10"/>
        <v>-0.5161920657</v>
      </c>
    </row>
    <row r="30" ht="15.75" customHeight="1"/>
    <row r="31" ht="15.75" customHeight="1">
      <c r="A31" s="16" t="s">
        <v>227</v>
      </c>
      <c r="B31" s="17"/>
      <c r="C31" s="17"/>
      <c r="D31" s="17"/>
      <c r="E31" s="17"/>
      <c r="F31" s="17"/>
      <c r="G31" s="17"/>
      <c r="H31" s="17"/>
      <c r="I31" s="17"/>
      <c r="J31" s="17"/>
      <c r="K31" s="17"/>
      <c r="L31" s="17"/>
      <c r="M31" s="17"/>
      <c r="N31" s="17"/>
      <c r="O31" s="17"/>
    </row>
    <row r="32" ht="15.75" customHeight="1">
      <c r="A32" s="66" t="s">
        <v>172</v>
      </c>
      <c r="B32" s="67">
        <v>0.0</v>
      </c>
      <c r="C32" s="67">
        <v>0.0</v>
      </c>
      <c r="D32" s="67">
        <v>0.0</v>
      </c>
      <c r="E32" s="68">
        <v>0.0</v>
      </c>
      <c r="F32" s="68">
        <v>250000.0</v>
      </c>
      <c r="G32" s="68">
        <v>250000.0</v>
      </c>
      <c r="H32" s="68">
        <v>0.0</v>
      </c>
      <c r="I32" s="68">
        <v>0.0</v>
      </c>
      <c r="J32" s="68">
        <v>0.0</v>
      </c>
      <c r="K32" s="68">
        <v>0.0</v>
      </c>
      <c r="L32" s="68">
        <v>0.0</v>
      </c>
      <c r="M32" s="68">
        <v>0.0</v>
      </c>
      <c r="N32" s="69">
        <f>SUM(B32:D32)</f>
        <v>0</v>
      </c>
      <c r="O32" s="69">
        <f>SUM(B32:M32)</f>
        <v>500000</v>
      </c>
    </row>
    <row r="33" ht="15.75" customHeight="1">
      <c r="A33" s="70" t="s">
        <v>228</v>
      </c>
      <c r="B33" s="71">
        <f t="shared" ref="B33:O33" si="11">B28+B32</f>
        <v>4260.6</v>
      </c>
      <c r="C33" s="71">
        <f t="shared" si="11"/>
        <v>-125</v>
      </c>
      <c r="D33" s="71">
        <f t="shared" si="11"/>
        <v>9887.4</v>
      </c>
      <c r="E33" s="71">
        <f t="shared" si="11"/>
        <v>-3486.237826</v>
      </c>
      <c r="F33" s="71">
        <f t="shared" si="11"/>
        <v>237978.0452</v>
      </c>
      <c r="G33" s="71">
        <f t="shared" si="11"/>
        <v>260577.1396</v>
      </c>
      <c r="H33" s="71">
        <f t="shared" si="11"/>
        <v>-32775.56237</v>
      </c>
      <c r="I33" s="71">
        <f t="shared" si="11"/>
        <v>-44355.29588</v>
      </c>
      <c r="J33" s="71">
        <f t="shared" si="11"/>
        <v>-8863.954001</v>
      </c>
      <c r="K33" s="71">
        <f t="shared" si="11"/>
        <v>-41381.0614</v>
      </c>
      <c r="L33" s="71">
        <f t="shared" si="11"/>
        <v>-14356.91258</v>
      </c>
      <c r="M33" s="71">
        <f t="shared" si="11"/>
        <v>-36848.76072</v>
      </c>
      <c r="N33" s="71">
        <f t="shared" si="11"/>
        <v>14023</v>
      </c>
      <c r="O33" s="71">
        <f t="shared" si="11"/>
        <v>330510.4</v>
      </c>
    </row>
    <row r="34" ht="15.75" customHeight="1">
      <c r="A34" s="70" t="s">
        <v>229</v>
      </c>
      <c r="B34" s="71">
        <f>5000+B33</f>
        <v>9260.6</v>
      </c>
      <c r="C34" s="71">
        <f t="shared" ref="C34:M34" si="12">B34+C33</f>
        <v>9135.6</v>
      </c>
      <c r="D34" s="71">
        <f t="shared" si="12"/>
        <v>19023</v>
      </c>
      <c r="E34" s="71">
        <f t="shared" si="12"/>
        <v>15536.76217</v>
      </c>
      <c r="F34" s="71">
        <f t="shared" si="12"/>
        <v>253514.8074</v>
      </c>
      <c r="G34" s="71">
        <f t="shared" si="12"/>
        <v>514091.947</v>
      </c>
      <c r="H34" s="71">
        <f t="shared" si="12"/>
        <v>481316.3846</v>
      </c>
      <c r="I34" s="71">
        <f t="shared" si="12"/>
        <v>436961.0887</v>
      </c>
      <c r="J34" s="71">
        <f t="shared" si="12"/>
        <v>428097.1347</v>
      </c>
      <c r="K34" s="71">
        <f t="shared" si="12"/>
        <v>386716.0733</v>
      </c>
      <c r="L34" s="71">
        <f t="shared" si="12"/>
        <v>372359.1607</v>
      </c>
      <c r="M34" s="71">
        <f t="shared" si="12"/>
        <v>335510.4</v>
      </c>
      <c r="N34" s="71">
        <f>D34</f>
        <v>19023</v>
      </c>
      <c r="O34" s="71">
        <f>M34</f>
        <v>335510.4</v>
      </c>
    </row>
    <row r="35" ht="15.75" customHeight="1"/>
    <row r="36" ht="15.75" customHeight="1">
      <c r="A36" s="76" t="s">
        <v>230</v>
      </c>
    </row>
    <row r="37" ht="15.75" customHeight="1">
      <c r="A37" s="25" t="s">
        <v>231</v>
      </c>
    </row>
    <row r="38" ht="15.75" customHeight="1">
      <c r="A38" s="25" t="s">
        <v>232</v>
      </c>
    </row>
    <row r="39" ht="15.75" customHeight="1">
      <c r="A39" s="25" t="s">
        <v>233</v>
      </c>
    </row>
    <row r="40" ht="15.75" customHeight="1">
      <c r="A40" s="25" t="s">
        <v>234</v>
      </c>
    </row>
    <row r="41" ht="15.75" customHeight="1">
      <c r="A41" s="25" t="s">
        <v>235</v>
      </c>
    </row>
    <row r="42" ht="15.75" customHeight="1"/>
    <row r="43" ht="15.75" customHeight="1">
      <c r="A43" s="16" t="s">
        <v>236</v>
      </c>
      <c r="B43" s="17"/>
      <c r="C43" s="17"/>
      <c r="D43" s="17"/>
      <c r="E43" s="17"/>
      <c r="F43" s="17"/>
      <c r="G43" s="17"/>
      <c r="H43" s="17"/>
      <c r="I43" s="17"/>
      <c r="J43" s="17"/>
      <c r="K43" s="17"/>
      <c r="L43" s="17"/>
      <c r="M43" s="17"/>
      <c r="N43" s="17"/>
      <c r="O43" s="17"/>
    </row>
    <row r="44" ht="15.75" customHeight="1">
      <c r="A44" s="25" t="s">
        <v>237</v>
      </c>
    </row>
    <row r="45" ht="15.75" customHeight="1">
      <c r="A45" s="25" t="s">
        <v>238</v>
      </c>
    </row>
    <row r="46" ht="15.75" customHeight="1">
      <c r="A46" s="25" t="s">
        <v>239</v>
      </c>
    </row>
    <row r="47" ht="15.75" customHeight="1">
      <c r="A47" s="25" t="s">
        <v>240</v>
      </c>
    </row>
    <row r="48" ht="15.75" customHeight="1">
      <c r="A48" s="25" t="s">
        <v>241</v>
      </c>
    </row>
    <row r="49" ht="15.75" customHeight="1">
      <c r="A49" s="25" t="s">
        <v>242</v>
      </c>
    </row>
    <row r="50" ht="15.75" customHeight="1">
      <c r="A50" s="77" t="s">
        <v>243</v>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44:J44"/>
    <mergeCell ref="A45:J45"/>
    <mergeCell ref="A46:J46"/>
    <mergeCell ref="A47:J47"/>
    <mergeCell ref="A48:J48"/>
    <mergeCell ref="A49:J49"/>
    <mergeCell ref="A50:J50"/>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17E36"/>
    <outlinePr summaryBelow="0"/>
    <pageSetUpPr/>
  </sheetPr>
  <sheetViews>
    <sheetView workbookViewId="0"/>
  </sheetViews>
  <sheetFormatPr customHeight="1" defaultColWidth="14.43" defaultRowHeight="15.0" outlineLevelRow="1"/>
  <cols>
    <col customWidth="1" min="1" max="1" width="38.0"/>
    <col customWidth="1" min="2" max="5" width="18.0"/>
    <col customWidth="1" min="6" max="6" width="36.0"/>
    <col customWidth="1" min="7" max="26" width="8.71"/>
  </cols>
  <sheetData>
    <row r="1">
      <c r="A1" s="1" t="s">
        <v>244</v>
      </c>
    </row>
    <row r="2">
      <c r="A2" s="2" t="s">
        <v>245</v>
      </c>
    </row>
    <row r="4">
      <c r="A4" s="3"/>
      <c r="B4" s="3" t="s">
        <v>65</v>
      </c>
      <c r="C4" s="3" t="s">
        <v>66</v>
      </c>
      <c r="D4" s="3" t="s">
        <v>67</v>
      </c>
      <c r="E4" s="3" t="s">
        <v>68</v>
      </c>
    </row>
    <row r="5">
      <c r="A5" s="16" t="s">
        <v>190</v>
      </c>
      <c r="B5" s="17"/>
      <c r="C5" s="17"/>
      <c r="D5" s="17"/>
      <c r="E5" s="17"/>
    </row>
    <row r="6">
      <c r="A6" s="6" t="s">
        <v>194</v>
      </c>
      <c r="B6" s="78">
        <f>Assumptions!B7</f>
        <v>18230</v>
      </c>
      <c r="C6" s="78">
        <f>Assumptions!C7</f>
        <v>59346</v>
      </c>
      <c r="D6" s="78">
        <f>Assumptions!D7</f>
        <v>205530</v>
      </c>
      <c r="E6" s="78">
        <f>Assumptions!E7</f>
        <v>502500</v>
      </c>
    </row>
    <row r="7" outlineLevel="1">
      <c r="A7" s="45" t="s">
        <v>246</v>
      </c>
      <c r="B7" s="9">
        <f>Assumptions!B9</f>
        <v>1100</v>
      </c>
      <c r="C7" s="9">
        <f>Assumptions!C9</f>
        <v>1176</v>
      </c>
      <c r="D7" s="9">
        <f>Assumptions!D9</f>
        <v>630</v>
      </c>
      <c r="E7" s="9">
        <f>Assumptions!E9</f>
        <v>0</v>
      </c>
    </row>
    <row r="8" outlineLevel="1">
      <c r="A8" s="43" t="s">
        <v>247</v>
      </c>
      <c r="B8" s="78">
        <f>Assumptions!B11</f>
        <v>400</v>
      </c>
      <c r="C8" s="78">
        <f>Assumptions!C11</f>
        <v>2640</v>
      </c>
      <c r="D8" s="78">
        <f>Assumptions!D11</f>
        <v>14400</v>
      </c>
      <c r="E8" s="78">
        <f>Assumptions!E11</f>
        <v>42000</v>
      </c>
    </row>
    <row r="9" outlineLevel="1">
      <c r="A9" s="45" t="s">
        <v>248</v>
      </c>
      <c r="B9" s="9">
        <f>Assumptions!B13</f>
        <v>15830</v>
      </c>
      <c r="C9" s="9">
        <f>Assumptions!C13</f>
        <v>46080</v>
      </c>
      <c r="D9" s="9">
        <f>Assumptions!D13</f>
        <v>144000</v>
      </c>
      <c r="E9" s="9">
        <f>Assumptions!E13</f>
        <v>333000</v>
      </c>
    </row>
    <row r="10" outlineLevel="1">
      <c r="A10" s="43" t="s">
        <v>249</v>
      </c>
      <c r="B10" s="78">
        <f>Assumptions!B15</f>
        <v>900</v>
      </c>
      <c r="C10" s="78">
        <f>Assumptions!C15</f>
        <v>9450</v>
      </c>
      <c r="D10" s="78">
        <f>Assumptions!D15</f>
        <v>46500</v>
      </c>
      <c r="E10" s="78">
        <f>Assumptions!E15</f>
        <v>127500</v>
      </c>
    </row>
    <row r="12">
      <c r="A12" s="6" t="s">
        <v>195</v>
      </c>
      <c r="B12" s="78">
        <f>Assumptions!B17</f>
        <v>2000</v>
      </c>
      <c r="C12" s="78">
        <f>Assumptions!C17</f>
        <v>79000</v>
      </c>
      <c r="D12" s="78">
        <f>Assumptions!D17</f>
        <v>177000</v>
      </c>
      <c r="E12" s="78">
        <f>Assumptions!E17</f>
        <v>420000</v>
      </c>
    </row>
    <row r="13" outlineLevel="1">
      <c r="A13" s="45" t="s">
        <v>250</v>
      </c>
      <c r="B13" s="9">
        <f>Assumptions!B19</f>
        <v>1000</v>
      </c>
      <c r="C13" s="9">
        <f>Assumptions!C19</f>
        <v>9000</v>
      </c>
      <c r="D13" s="9">
        <f>Assumptions!D19</f>
        <v>3000</v>
      </c>
      <c r="E13" s="9">
        <f>Assumptions!E19</f>
        <v>0</v>
      </c>
    </row>
    <row r="14" outlineLevel="1">
      <c r="A14" s="43" t="s">
        <v>251</v>
      </c>
      <c r="B14" s="78">
        <f>Assumptions!B21</f>
        <v>500</v>
      </c>
      <c r="C14" s="78">
        <f>Assumptions!C21</f>
        <v>24000</v>
      </c>
      <c r="D14" s="78">
        <f>Assumptions!D21</f>
        <v>66000</v>
      </c>
      <c r="E14" s="78">
        <f>Assumptions!E21</f>
        <v>156000</v>
      </c>
    </row>
    <row r="15" outlineLevel="1">
      <c r="A15" s="45" t="s">
        <v>252</v>
      </c>
      <c r="B15" s="9">
        <f>Assumptions!B23</f>
        <v>500</v>
      </c>
      <c r="C15" s="9">
        <f>Assumptions!C23</f>
        <v>36000</v>
      </c>
      <c r="D15" s="9">
        <f>Assumptions!D23</f>
        <v>108000</v>
      </c>
      <c r="E15" s="9">
        <f>Assumptions!E23</f>
        <v>264000</v>
      </c>
    </row>
    <row r="17">
      <c r="A17" s="8" t="s">
        <v>222</v>
      </c>
      <c r="B17" s="9">
        <f>Assumptions!B25</f>
        <v>73890</v>
      </c>
      <c r="C17" s="9">
        <f>Assumptions!C25</f>
        <v>100000</v>
      </c>
      <c r="D17" s="9">
        <f>Assumptions!D25</f>
        <v>160000</v>
      </c>
      <c r="E17" s="9">
        <f>Assumptions!E25</f>
        <v>240000</v>
      </c>
    </row>
    <row r="18" outlineLevel="1">
      <c r="A18" s="43" t="s">
        <v>99</v>
      </c>
      <c r="B18" s="78">
        <f>Assumptions!B26</f>
        <v>0</v>
      </c>
      <c r="C18" s="78">
        <f>Assumptions!C26</f>
        <v>17000</v>
      </c>
      <c r="D18" s="78">
        <f>Assumptions!D26</f>
        <v>25000</v>
      </c>
      <c r="E18" s="78">
        <f>Assumptions!E26</f>
        <v>35000</v>
      </c>
    </row>
    <row r="19" outlineLevel="1">
      <c r="A19" s="45" t="s">
        <v>101</v>
      </c>
      <c r="B19" s="9">
        <f>Assumptions!B27</f>
        <v>0</v>
      </c>
      <c r="C19" s="9">
        <f>Assumptions!C27</f>
        <v>18000</v>
      </c>
      <c r="D19" s="9">
        <f>Assumptions!D27</f>
        <v>28000</v>
      </c>
      <c r="E19" s="9">
        <f>Assumptions!E27</f>
        <v>40000</v>
      </c>
    </row>
    <row r="20" outlineLevel="1">
      <c r="A20" s="43" t="s">
        <v>103</v>
      </c>
      <c r="B20" s="78">
        <f>Assumptions!B28</f>
        <v>0</v>
      </c>
      <c r="C20" s="78">
        <f>Assumptions!C28</f>
        <v>10000</v>
      </c>
      <c r="D20" s="78">
        <f>Assumptions!D28</f>
        <v>16000</v>
      </c>
      <c r="E20" s="78">
        <f>Assumptions!E28</f>
        <v>24000</v>
      </c>
    </row>
    <row r="21" ht="15.75" customHeight="1" outlineLevel="1">
      <c r="A21" s="45" t="s">
        <v>104</v>
      </c>
      <c r="B21" s="9">
        <f>Assumptions!B29</f>
        <v>0</v>
      </c>
      <c r="C21" s="9">
        <f>Assumptions!C29</f>
        <v>14000</v>
      </c>
      <c r="D21" s="9">
        <f>Assumptions!D29</f>
        <v>22000</v>
      </c>
      <c r="E21" s="9">
        <f>Assumptions!E29</f>
        <v>32000</v>
      </c>
    </row>
    <row r="22" ht="15.75" customHeight="1" outlineLevel="1">
      <c r="A22" s="43" t="s">
        <v>105</v>
      </c>
      <c r="B22" s="78">
        <f>Assumptions!B30</f>
        <v>0</v>
      </c>
      <c r="C22" s="78">
        <f>Assumptions!C30</f>
        <v>10000</v>
      </c>
      <c r="D22" s="78">
        <f>Assumptions!D30</f>
        <v>16000</v>
      </c>
      <c r="E22" s="78">
        <f>Assumptions!E30</f>
        <v>24000</v>
      </c>
    </row>
    <row r="23" ht="15.75" customHeight="1" outlineLevel="1">
      <c r="A23" s="45" t="s">
        <v>106</v>
      </c>
      <c r="B23" s="9">
        <f>Assumptions!B31</f>
        <v>0</v>
      </c>
      <c r="C23" s="9">
        <f>Assumptions!C31</f>
        <v>21000</v>
      </c>
      <c r="D23" s="9">
        <f>Assumptions!D31</f>
        <v>33000</v>
      </c>
      <c r="E23" s="9">
        <f>Assumptions!E31</f>
        <v>50000</v>
      </c>
    </row>
    <row r="24" ht="15.75" customHeight="1" outlineLevel="1">
      <c r="A24" s="43" t="s">
        <v>108</v>
      </c>
      <c r="B24" s="78">
        <f>Assumptions!B32</f>
        <v>0</v>
      </c>
      <c r="C24" s="78">
        <f>Assumptions!C32</f>
        <v>10000</v>
      </c>
      <c r="D24" s="78">
        <f>Assumptions!D32</f>
        <v>20000</v>
      </c>
      <c r="E24" s="78">
        <f>Assumptions!E32</f>
        <v>35000</v>
      </c>
    </row>
    <row r="25" ht="15.75" customHeight="1"/>
    <row r="26" ht="15.75" customHeight="1">
      <c r="A26" s="6" t="s">
        <v>223</v>
      </c>
      <c r="B26" s="78">
        <f>Assumptions!B34</f>
        <v>0</v>
      </c>
      <c r="C26" s="78">
        <f>Assumptions!C34</f>
        <v>50000</v>
      </c>
      <c r="D26" s="78">
        <f>Assumptions!D34</f>
        <v>255000</v>
      </c>
      <c r="E26" s="78">
        <f>Assumptions!E34</f>
        <v>635000</v>
      </c>
    </row>
    <row r="27" ht="15.75" customHeight="1" outlineLevel="1">
      <c r="A27" s="45" t="s">
        <v>112</v>
      </c>
      <c r="B27" s="9">
        <f>Assumptions!B35</f>
        <v>0</v>
      </c>
      <c r="C27" s="9">
        <f>Assumptions!C35</f>
        <v>30000</v>
      </c>
      <c r="D27" s="9">
        <f>Assumptions!D35</f>
        <v>100000</v>
      </c>
      <c r="E27" s="9">
        <f>Assumptions!E35</f>
        <v>200000</v>
      </c>
    </row>
    <row r="28" ht="15.75" customHeight="1" outlineLevel="1">
      <c r="A28" s="43" t="s">
        <v>114</v>
      </c>
      <c r="B28" s="78">
        <f>Assumptions!B36</f>
        <v>0</v>
      </c>
      <c r="C28" s="78">
        <f>Assumptions!C36</f>
        <v>10000</v>
      </c>
      <c r="D28" s="78">
        <f>Assumptions!D36</f>
        <v>30000</v>
      </c>
      <c r="E28" s="78">
        <f>Assumptions!E36</f>
        <v>60000</v>
      </c>
    </row>
    <row r="29" ht="15.75" customHeight="1" outlineLevel="1">
      <c r="A29" s="45" t="s">
        <v>116</v>
      </c>
      <c r="B29" s="9">
        <f>Assumptions!B37</f>
        <v>0</v>
      </c>
      <c r="C29" s="9">
        <f>Assumptions!C37</f>
        <v>10000</v>
      </c>
      <c r="D29" s="9">
        <f>Assumptions!D37</f>
        <v>50000</v>
      </c>
      <c r="E29" s="9">
        <f>Assumptions!E37</f>
        <v>150000</v>
      </c>
    </row>
    <row r="30" ht="15.75" customHeight="1" outlineLevel="1">
      <c r="A30" s="43" t="s">
        <v>118</v>
      </c>
      <c r="B30" s="78">
        <f>Assumptions!B38</f>
        <v>0</v>
      </c>
      <c r="C30" s="78">
        <f>Assumptions!C38</f>
        <v>0</v>
      </c>
      <c r="D30" s="78">
        <f>Assumptions!D38</f>
        <v>75000</v>
      </c>
      <c r="E30" s="78">
        <f>Assumptions!E38</f>
        <v>225000</v>
      </c>
    </row>
    <row r="31" ht="15.75" customHeight="1"/>
    <row r="32" ht="15.75" customHeight="1">
      <c r="A32" s="6" t="s">
        <v>196</v>
      </c>
      <c r="B32" s="78">
        <f>Assumptions!B40</f>
        <v>69656</v>
      </c>
      <c r="C32" s="78">
        <f>Assumptions!C40</f>
        <v>40000</v>
      </c>
      <c r="D32" s="78">
        <f>Assumptions!D40</f>
        <v>20000</v>
      </c>
      <c r="E32" s="78">
        <f>Assumptions!E40</f>
        <v>0</v>
      </c>
    </row>
    <row r="33" ht="15.75" customHeight="1">
      <c r="A33" s="8" t="s">
        <v>122</v>
      </c>
      <c r="B33" s="9">
        <f>Assumptions!B41</f>
        <v>48405</v>
      </c>
      <c r="C33" s="9">
        <f>Assumptions!C41</f>
        <v>0</v>
      </c>
      <c r="D33" s="9">
        <f>Assumptions!D41</f>
        <v>0</v>
      </c>
      <c r="E33" s="9">
        <f>Assumptions!E41</f>
        <v>0</v>
      </c>
    </row>
    <row r="34" ht="15.75" customHeight="1">
      <c r="A34" s="10" t="s">
        <v>6</v>
      </c>
      <c r="B34" s="49">
        <f t="shared" ref="B34:E34" si="1">B6+B12+B17+B26+B32+B33</f>
        <v>212181</v>
      </c>
      <c r="C34" s="49">
        <f t="shared" si="1"/>
        <v>328346</v>
      </c>
      <c r="D34" s="49">
        <f t="shared" si="1"/>
        <v>817530</v>
      </c>
      <c r="E34" s="49">
        <f t="shared" si="1"/>
        <v>1797500</v>
      </c>
    </row>
    <row r="35" ht="15.75" customHeight="1">
      <c r="A35" s="8" t="s">
        <v>198</v>
      </c>
      <c r="B35" s="9">
        <f>-ABS(B34*Assumptions!B44)</f>
        <v>-19732.833</v>
      </c>
      <c r="C35" s="9">
        <f>-ABS(C34*Assumptions!C44)</f>
        <v>-32834.6</v>
      </c>
      <c r="D35" s="9">
        <f>-ABS(D34*Assumptions!D44)</f>
        <v>-81753</v>
      </c>
      <c r="E35" s="9">
        <f>-ABS(E34*Assumptions!E44)</f>
        <v>-161775</v>
      </c>
    </row>
    <row r="36" ht="15.75" customHeight="1">
      <c r="A36" s="10" t="s">
        <v>8</v>
      </c>
      <c r="B36" s="49">
        <f t="shared" ref="B36:E36" si="2">B34+B35</f>
        <v>192448.167</v>
      </c>
      <c r="C36" s="49">
        <f t="shared" si="2"/>
        <v>295511.4</v>
      </c>
      <c r="D36" s="49">
        <f t="shared" si="2"/>
        <v>735777</v>
      </c>
      <c r="E36" s="49">
        <f t="shared" si="2"/>
        <v>1635725</v>
      </c>
    </row>
    <row r="37" ht="15.75" customHeight="1">
      <c r="A37" s="8" t="s">
        <v>9</v>
      </c>
      <c r="B37" s="62">
        <f t="shared" ref="B37:E37" si="3">IF(B34&gt;0,B36/B34,0)</f>
        <v>0.907</v>
      </c>
      <c r="C37" s="62">
        <f t="shared" si="3"/>
        <v>0.9</v>
      </c>
      <c r="D37" s="62">
        <f t="shared" si="3"/>
        <v>0.9</v>
      </c>
      <c r="E37" s="62">
        <f t="shared" si="3"/>
        <v>0.91</v>
      </c>
    </row>
    <row r="38" ht="15.75" customHeight="1">
      <c r="A38" s="6" t="s">
        <v>253</v>
      </c>
      <c r="B38" s="78">
        <f>-ABS(Assumptions!B68)</f>
        <v>-100300</v>
      </c>
      <c r="C38" s="78">
        <f>-ABS(Assumptions!C68)</f>
        <v>-565000</v>
      </c>
      <c r="D38" s="78">
        <f>-ABS(Assumptions!D68)</f>
        <v>-764000</v>
      </c>
      <c r="E38" s="78">
        <f>-ABS(Assumptions!E68)</f>
        <v>-1047000</v>
      </c>
    </row>
    <row r="39" ht="15.75" customHeight="1">
      <c r="A39" s="4" t="s">
        <v>10</v>
      </c>
      <c r="B39" s="42">
        <f t="shared" ref="B39:E39" si="4">B36+B38</f>
        <v>92148.167</v>
      </c>
      <c r="C39" s="42">
        <f t="shared" si="4"/>
        <v>-269488.6</v>
      </c>
      <c r="D39" s="42">
        <f t="shared" si="4"/>
        <v>-28223</v>
      </c>
      <c r="E39" s="42">
        <f t="shared" si="4"/>
        <v>588725</v>
      </c>
    </row>
    <row r="40" ht="15.75" customHeight="1">
      <c r="A40" s="6" t="s">
        <v>11</v>
      </c>
      <c r="B40" s="61">
        <f t="shared" ref="B40:E40" si="5">IF(B34&gt;0,B39/B34,0)</f>
        <v>0.4342903794</v>
      </c>
      <c r="C40" s="61">
        <f t="shared" si="5"/>
        <v>-0.8207457986</v>
      </c>
      <c r="D40" s="61">
        <f t="shared" si="5"/>
        <v>-0.03452228053</v>
      </c>
      <c r="E40" s="61">
        <f t="shared" si="5"/>
        <v>0.3275243394</v>
      </c>
    </row>
    <row r="41" ht="15.75" customHeight="1">
      <c r="A41" s="16" t="s">
        <v>254</v>
      </c>
      <c r="B41" s="17"/>
      <c r="C41" s="17"/>
      <c r="D41" s="17"/>
      <c r="E41" s="17"/>
    </row>
    <row r="42" ht="15.75" customHeight="1">
      <c r="A42" s="6" t="s">
        <v>255</v>
      </c>
      <c r="B42" s="78">
        <v>0.0</v>
      </c>
      <c r="C42" s="78">
        <f>-IF('Valuation &amp; Exit'!B47&gt;0,MIN('Valuation &amp; Exit'!C45,'Valuation &amp; Exit'!B47),0)</f>
        <v>-16417.3</v>
      </c>
      <c r="D42" s="78">
        <f>-IF('Valuation &amp; Exit'!C47&gt;0,MIN('Valuation &amp; Exit'!D45,'Valuation &amp; Exit'!C47),0)</f>
        <v>-40876.5</v>
      </c>
      <c r="E42" s="78">
        <f>-IF('Valuation &amp; Exit'!D47&gt;0,MIN('Valuation &amp; Exit'!E45,'Valuation &amp; Exit'!D47),0)</f>
        <v>-89875</v>
      </c>
      <c r="F42" s="79" t="s">
        <v>256</v>
      </c>
    </row>
    <row r="43" ht="15.75" customHeight="1">
      <c r="A43" s="8" t="s">
        <v>257</v>
      </c>
      <c r="B43" s="9">
        <v>0.0</v>
      </c>
      <c r="C43" s="9">
        <f>-ABS('Valuation &amp; Exit'!B54)</f>
        <v>-23739.64004</v>
      </c>
      <c r="D43" s="9">
        <f>-ABS('Valuation &amp; Exit'!B54)</f>
        <v>-23739.64004</v>
      </c>
      <c r="E43" s="9">
        <f>-ABS('Valuation &amp; Exit'!B54)</f>
        <v>-23739.64004</v>
      </c>
      <c r="F43" s="79" t="s">
        <v>258</v>
      </c>
    </row>
    <row r="44" ht="15.75" customHeight="1">
      <c r="A44" s="10" t="s">
        <v>259</v>
      </c>
      <c r="B44" s="49">
        <f t="shared" ref="B44:E44" si="6">B42+B43</f>
        <v>0</v>
      </c>
      <c r="C44" s="49">
        <f t="shared" si="6"/>
        <v>-40156.94004</v>
      </c>
      <c r="D44" s="49">
        <f t="shared" si="6"/>
        <v>-64616.14004</v>
      </c>
      <c r="E44" s="49">
        <f t="shared" si="6"/>
        <v>-113614.64</v>
      </c>
    </row>
    <row r="45" ht="15.75" customHeight="1">
      <c r="A45" s="4" t="s">
        <v>13</v>
      </c>
      <c r="B45" s="42">
        <f t="shared" ref="B45:E45" si="7">B39+B44</f>
        <v>92148.167</v>
      </c>
      <c r="C45" s="42">
        <f t="shared" si="7"/>
        <v>-309645.54</v>
      </c>
      <c r="D45" s="42">
        <f t="shared" si="7"/>
        <v>-92839.14004</v>
      </c>
      <c r="E45" s="42">
        <f t="shared" si="7"/>
        <v>475110.36</v>
      </c>
    </row>
    <row r="46" ht="15.75" customHeight="1">
      <c r="A46" s="6" t="s">
        <v>204</v>
      </c>
      <c r="B46" s="61">
        <f t="shared" ref="B46:E46" si="8">IF(B34&gt;0,B45/B34,0)</f>
        <v>0.4342903794</v>
      </c>
      <c r="C46" s="61">
        <f t="shared" si="8"/>
        <v>-0.9430464816</v>
      </c>
      <c r="D46" s="61">
        <f t="shared" si="8"/>
        <v>-0.1135605299</v>
      </c>
      <c r="E46" s="61">
        <f t="shared" si="8"/>
        <v>0.2643173073</v>
      </c>
    </row>
    <row r="47" ht="15.75" customHeight="1">
      <c r="A47" s="8" t="s">
        <v>172</v>
      </c>
      <c r="B47" s="9">
        <f>Assumptions!B71</f>
        <v>0</v>
      </c>
      <c r="C47" s="9">
        <f>Assumptions!C71</f>
        <v>500000</v>
      </c>
      <c r="D47" s="9">
        <f>Assumptions!D71</f>
        <v>0</v>
      </c>
      <c r="E47" s="9">
        <f>Assumptions!E71</f>
        <v>0</v>
      </c>
    </row>
    <row r="48" ht="15.75" customHeight="1">
      <c r="A48" s="10" t="s">
        <v>260</v>
      </c>
      <c r="B48" s="49">
        <f>Assumptions!B72+B45+B47</f>
        <v>97148.167</v>
      </c>
      <c r="C48" s="49">
        <f>C45+C47</f>
        <v>190354.46</v>
      </c>
      <c r="D48" s="49">
        <f t="shared" ref="D48:E48" si="9">C48+D45+D47</f>
        <v>97515.31991</v>
      </c>
      <c r="E48" s="49">
        <f t="shared" si="9"/>
        <v>572625.6799</v>
      </c>
    </row>
    <row r="49" ht="15.75" customHeight="1"/>
    <row r="50" ht="15.75" customHeight="1">
      <c r="A50" s="16" t="s">
        <v>261</v>
      </c>
      <c r="B50" s="17"/>
      <c r="C50" s="17"/>
      <c r="D50" s="17"/>
      <c r="E50" s="17"/>
    </row>
    <row r="51" ht="15.75" customHeight="1">
      <c r="A51" s="8" t="s">
        <v>262</v>
      </c>
      <c r="B51" s="12">
        <f>Assumptions!B75</f>
        <v>132</v>
      </c>
      <c r="C51" s="12">
        <f>Assumptions!C75</f>
        <v>515</v>
      </c>
      <c r="D51" s="12">
        <f>Assumptions!D75</f>
        <v>1650</v>
      </c>
      <c r="E51" s="12">
        <f>Assumptions!E75</f>
        <v>3600</v>
      </c>
    </row>
    <row r="52" ht="15.75" customHeight="1">
      <c r="A52" s="6" t="s">
        <v>263</v>
      </c>
      <c r="B52" s="13">
        <f>Assumptions!B76</f>
        <v>4</v>
      </c>
      <c r="C52" s="13">
        <f>Assumptions!C76</f>
        <v>6</v>
      </c>
      <c r="D52" s="13">
        <f>Assumptions!D76</f>
        <v>15</v>
      </c>
      <c r="E52" s="13">
        <f>Assumptions!E76</f>
        <v>33</v>
      </c>
    </row>
    <row r="53" ht="15.75" customHeight="1">
      <c r="A53" s="8" t="s">
        <v>17</v>
      </c>
      <c r="B53" s="12">
        <f>Assumptions!B77</f>
        <v>10000</v>
      </c>
      <c r="C53" s="12">
        <f>Assumptions!C77</f>
        <v>25000</v>
      </c>
      <c r="D53" s="12">
        <f>Assumptions!D77</f>
        <v>60000</v>
      </c>
      <c r="E53" s="12">
        <f>Assumptions!E77</f>
        <v>120000</v>
      </c>
    </row>
    <row r="54" ht="15.75" customHeight="1"/>
    <row r="55" ht="15.75" customHeight="1">
      <c r="A55" s="8" t="s">
        <v>264</v>
      </c>
      <c r="B55" s="80">
        <f>B34/1</f>
        <v>212181</v>
      </c>
      <c r="C55" s="80">
        <f>C34/4</f>
        <v>82086.5</v>
      </c>
      <c r="D55" s="80">
        <f>D34/6</f>
        <v>136255</v>
      </c>
      <c r="E55" s="80">
        <f>E34/10</f>
        <v>179750</v>
      </c>
    </row>
    <row r="56" ht="15.75" customHeight="1">
      <c r="A56" s="6" t="s">
        <v>184</v>
      </c>
      <c r="B56" s="14">
        <f>Assumptions!B82</f>
        <v>0</v>
      </c>
      <c r="C56" s="14">
        <f>Assumptions!C82</f>
        <v>6.983936452</v>
      </c>
      <c r="D56" s="14">
        <f>Assumptions!D82</f>
        <v>10.38030303</v>
      </c>
      <c r="E56" s="14">
        <f>Assumptions!E82</f>
        <v>14.36042524</v>
      </c>
    </row>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pageSetUpPr/>
  </sheetPr>
  <sheetViews>
    <sheetView workbookViewId="0"/>
  </sheetViews>
  <sheetFormatPr customHeight="1" defaultColWidth="14.43" defaultRowHeight="15.0"/>
  <cols>
    <col customWidth="1" min="1" max="1" width="38.0"/>
    <col customWidth="1" min="2" max="5" width="18.0"/>
    <col customWidth="1" min="6" max="6" width="30.0"/>
    <col customWidth="1" min="7" max="26" width="8.71"/>
  </cols>
  <sheetData>
    <row r="1">
      <c r="A1" s="1" t="s">
        <v>265</v>
      </c>
    </row>
    <row r="2">
      <c r="A2" s="2" t="s">
        <v>266</v>
      </c>
    </row>
    <row r="3">
      <c r="A3" s="25" t="s">
        <v>267</v>
      </c>
    </row>
    <row r="5">
      <c r="A5" s="81"/>
      <c r="B5" s="81" t="s">
        <v>65</v>
      </c>
      <c r="C5" s="81" t="s">
        <v>3</v>
      </c>
      <c r="D5" s="81" t="s">
        <v>4</v>
      </c>
      <c r="E5" s="81" t="s">
        <v>5</v>
      </c>
      <c r="F5" s="81" t="s">
        <v>268</v>
      </c>
    </row>
    <row r="6">
      <c r="A6" s="16" t="s">
        <v>269</v>
      </c>
      <c r="B6" s="17"/>
      <c r="C6" s="17"/>
      <c r="D6" s="17"/>
      <c r="E6" s="17"/>
      <c r="F6" s="17"/>
    </row>
    <row r="7">
      <c r="A7" s="8" t="s">
        <v>194</v>
      </c>
      <c r="B7" s="51">
        <v>18230.0</v>
      </c>
      <c r="C7" s="51">
        <v>28000.0</v>
      </c>
      <c r="D7" s="51">
        <v>58000.0</v>
      </c>
      <c r="E7" s="51">
        <v>115000.0</v>
      </c>
      <c r="F7" s="51" t="s">
        <v>270</v>
      </c>
    </row>
    <row r="8">
      <c r="A8" s="6" t="s">
        <v>221</v>
      </c>
      <c r="B8" s="50">
        <v>2000.0</v>
      </c>
      <c r="C8" s="50">
        <v>25000.0</v>
      </c>
      <c r="D8" s="50">
        <v>60000.0</v>
      </c>
      <c r="E8" s="50">
        <v>144000.0</v>
      </c>
      <c r="F8" s="50" t="s">
        <v>271</v>
      </c>
    </row>
    <row r="9">
      <c r="A9" s="8" t="s">
        <v>222</v>
      </c>
      <c r="B9" s="51">
        <v>73890.0</v>
      </c>
      <c r="C9" s="51">
        <v>75000.0</v>
      </c>
      <c r="D9" s="51">
        <v>100000.0</v>
      </c>
      <c r="E9" s="51">
        <v>140000.0</v>
      </c>
      <c r="F9" s="51" t="s">
        <v>272</v>
      </c>
    </row>
    <row r="10">
      <c r="A10" s="6" t="s">
        <v>223</v>
      </c>
      <c r="B10" s="50">
        <v>0.0</v>
      </c>
      <c r="C10" s="50">
        <v>15000.0</v>
      </c>
      <c r="D10" s="50">
        <v>45000.0</v>
      </c>
      <c r="E10" s="50">
        <v>100000.0</v>
      </c>
      <c r="F10" s="50" t="s">
        <v>273</v>
      </c>
    </row>
    <row r="11">
      <c r="A11" s="8" t="s">
        <v>196</v>
      </c>
      <c r="B11" s="51">
        <v>69656.0</v>
      </c>
      <c r="C11" s="51">
        <v>40000.0</v>
      </c>
      <c r="D11" s="51">
        <v>25000.0</v>
      </c>
      <c r="E11" s="51">
        <v>10000.0</v>
      </c>
      <c r="F11" s="51" t="s">
        <v>274</v>
      </c>
    </row>
    <row r="12">
      <c r="A12" s="6" t="s">
        <v>122</v>
      </c>
      <c r="B12" s="50">
        <v>48405.0</v>
      </c>
      <c r="C12" s="50">
        <v>20000.0</v>
      </c>
      <c r="D12" s="50">
        <v>0.0</v>
      </c>
      <c r="E12" s="50">
        <v>0.0</v>
      </c>
      <c r="F12" s="50" t="s">
        <v>275</v>
      </c>
    </row>
    <row r="13">
      <c r="A13" s="4" t="s">
        <v>6</v>
      </c>
      <c r="B13" s="42">
        <f t="shared" ref="B13:E13" si="1">SUM(B7:B12)</f>
        <v>212181</v>
      </c>
      <c r="C13" s="42">
        <f t="shared" si="1"/>
        <v>203000</v>
      </c>
      <c r="D13" s="42">
        <f t="shared" si="1"/>
        <v>288000</v>
      </c>
      <c r="E13" s="42">
        <f t="shared" si="1"/>
        <v>509000</v>
      </c>
      <c r="F13" s="42"/>
    </row>
    <row r="15">
      <c r="A15" s="16" t="s">
        <v>276</v>
      </c>
      <c r="B15" s="17"/>
      <c r="C15" s="17"/>
      <c r="D15" s="17"/>
      <c r="E15" s="17"/>
      <c r="F15" s="17"/>
    </row>
    <row r="16">
      <c r="A16" s="6" t="s">
        <v>277</v>
      </c>
      <c r="B16" s="54">
        <f>-ABS(B13*0.093)</f>
        <v>-19732.833</v>
      </c>
      <c r="C16" s="54">
        <f t="shared" ref="C16:D16" si="2">-ABS(C13*0.1)</f>
        <v>-20300</v>
      </c>
      <c r="D16" s="54">
        <f t="shared" si="2"/>
        <v>-28800</v>
      </c>
      <c r="E16" s="54">
        <f>-ABS(E13*0.09)</f>
        <v>-45810</v>
      </c>
      <c r="F16" s="54"/>
    </row>
    <row r="17">
      <c r="A17" s="4" t="s">
        <v>8</v>
      </c>
      <c r="B17" s="42">
        <f t="shared" ref="B17:E17" si="3">B13+B16</f>
        <v>192448.167</v>
      </c>
      <c r="C17" s="42">
        <f t="shared" si="3"/>
        <v>182700</v>
      </c>
      <c r="D17" s="42">
        <f t="shared" si="3"/>
        <v>259200</v>
      </c>
      <c r="E17" s="42">
        <f t="shared" si="3"/>
        <v>463190</v>
      </c>
      <c r="F17" s="42"/>
    </row>
    <row r="19">
      <c r="A19" s="8" t="s">
        <v>278</v>
      </c>
      <c r="B19" s="51">
        <v>7911.0</v>
      </c>
      <c r="C19" s="51">
        <v>48000.0</v>
      </c>
      <c r="D19" s="51">
        <v>60000.0</v>
      </c>
      <c r="E19" s="51">
        <v>72000.0</v>
      </c>
      <c r="F19" s="51" t="s">
        <v>279</v>
      </c>
    </row>
    <row r="20">
      <c r="A20" s="6" t="s">
        <v>280</v>
      </c>
      <c r="B20" s="50">
        <v>2469.0</v>
      </c>
      <c r="C20" s="50">
        <v>15000.0</v>
      </c>
      <c r="D20" s="50">
        <v>24000.0</v>
      </c>
      <c r="E20" s="50">
        <v>36000.0</v>
      </c>
      <c r="F20" s="50" t="s">
        <v>281</v>
      </c>
    </row>
    <row r="21" ht="15.75" customHeight="1">
      <c r="A21" s="8" t="s">
        <v>142</v>
      </c>
      <c r="B21" s="51">
        <v>25000.0</v>
      </c>
      <c r="C21" s="51">
        <v>50000.0</v>
      </c>
      <c r="D21" s="51">
        <v>65000.0</v>
      </c>
      <c r="E21" s="51">
        <v>80000.0</v>
      </c>
      <c r="F21" s="51" t="s">
        <v>282</v>
      </c>
    </row>
    <row r="22" ht="15.75" customHeight="1">
      <c r="A22" s="6" t="s">
        <v>283</v>
      </c>
      <c r="B22" s="50">
        <v>15994.0</v>
      </c>
      <c r="C22" s="50">
        <v>18000.0</v>
      </c>
      <c r="D22" s="50">
        <v>20000.0</v>
      </c>
      <c r="E22" s="50">
        <v>25000.0</v>
      </c>
      <c r="F22" s="50" t="s">
        <v>284</v>
      </c>
    </row>
    <row r="23" ht="15.75" customHeight="1">
      <c r="A23" s="8" t="s">
        <v>146</v>
      </c>
      <c r="B23" s="51">
        <v>8197.0</v>
      </c>
      <c r="C23" s="51">
        <v>12000.0</v>
      </c>
      <c r="D23" s="51">
        <v>15000.0</v>
      </c>
      <c r="E23" s="51">
        <v>20000.0</v>
      </c>
      <c r="F23" s="51" t="s">
        <v>285</v>
      </c>
    </row>
    <row r="24" ht="15.75" customHeight="1">
      <c r="A24" s="6" t="s">
        <v>286</v>
      </c>
      <c r="B24" s="50">
        <v>5087.0</v>
      </c>
      <c r="C24" s="50">
        <v>10000.0</v>
      </c>
      <c r="D24" s="50">
        <v>15000.0</v>
      </c>
      <c r="E24" s="50">
        <v>25000.0</v>
      </c>
      <c r="F24" s="50" t="s">
        <v>287</v>
      </c>
    </row>
    <row r="25" ht="15.75" customHeight="1">
      <c r="A25" s="8" t="s">
        <v>160</v>
      </c>
      <c r="B25" s="51">
        <v>3825.0</v>
      </c>
      <c r="C25" s="51">
        <v>6000.0</v>
      </c>
      <c r="D25" s="51">
        <v>8000.0</v>
      </c>
      <c r="E25" s="51">
        <v>12000.0</v>
      </c>
      <c r="F25" s="51" t="s">
        <v>288</v>
      </c>
    </row>
    <row r="26" ht="15.75" customHeight="1">
      <c r="A26" s="6" t="s">
        <v>162</v>
      </c>
      <c r="B26" s="50">
        <v>12116.0</v>
      </c>
      <c r="C26" s="50">
        <v>12000.0</v>
      </c>
      <c r="D26" s="50">
        <v>15000.0</v>
      </c>
      <c r="E26" s="50">
        <v>18000.0</v>
      </c>
      <c r="F26" s="50" t="s">
        <v>289</v>
      </c>
    </row>
    <row r="27" ht="15.75" customHeight="1">
      <c r="A27" s="8" t="s">
        <v>164</v>
      </c>
      <c r="B27" s="51">
        <v>5341.0</v>
      </c>
      <c r="C27" s="51">
        <v>5000.0</v>
      </c>
      <c r="D27" s="51">
        <v>8000.0</v>
      </c>
      <c r="E27" s="51">
        <v>12000.0</v>
      </c>
      <c r="F27" s="51" t="s">
        <v>290</v>
      </c>
    </row>
    <row r="28" ht="15.75" customHeight="1">
      <c r="A28" s="6" t="s">
        <v>291</v>
      </c>
      <c r="B28" s="50">
        <v>5244.0</v>
      </c>
      <c r="C28" s="50">
        <v>5000.0</v>
      </c>
      <c r="D28" s="50">
        <v>8000.0</v>
      </c>
      <c r="E28" s="50">
        <v>10000.0</v>
      </c>
      <c r="F28" s="50" t="s">
        <v>167</v>
      </c>
    </row>
    <row r="29" ht="15.75" customHeight="1">
      <c r="A29" s="8" t="s">
        <v>292</v>
      </c>
      <c r="B29" s="51">
        <v>9116.0</v>
      </c>
      <c r="C29" s="51">
        <v>10000.0</v>
      </c>
      <c r="D29" s="51">
        <v>12000.0</v>
      </c>
      <c r="E29" s="51">
        <v>15000.0</v>
      </c>
      <c r="F29" s="51" t="s">
        <v>293</v>
      </c>
    </row>
    <row r="30" ht="15.75" customHeight="1">
      <c r="A30" s="10" t="s">
        <v>170</v>
      </c>
      <c r="B30" s="49">
        <f t="shared" ref="B30:E30" si="4">SUM(B19:B29)</f>
        <v>100300</v>
      </c>
      <c r="C30" s="49">
        <f t="shared" si="4"/>
        <v>191000</v>
      </c>
      <c r="D30" s="49">
        <f t="shared" si="4"/>
        <v>250000</v>
      </c>
      <c r="E30" s="49">
        <f t="shared" si="4"/>
        <v>325000</v>
      </c>
      <c r="F30" s="49"/>
    </row>
    <row r="31" ht="15.75" customHeight="1"/>
    <row r="32" ht="15.75" customHeight="1">
      <c r="A32" s="16" t="s">
        <v>199</v>
      </c>
      <c r="B32" s="17"/>
      <c r="C32" s="17"/>
      <c r="D32" s="17"/>
      <c r="E32" s="17"/>
      <c r="F32" s="17"/>
    </row>
    <row r="33" ht="15.75" customHeight="1">
      <c r="A33" s="4" t="s">
        <v>10</v>
      </c>
      <c r="B33" s="42">
        <f t="shared" ref="B33:E33" si="5">B17-B30</f>
        <v>92148.167</v>
      </c>
      <c r="C33" s="42">
        <f t="shared" si="5"/>
        <v>-8300</v>
      </c>
      <c r="D33" s="42">
        <f t="shared" si="5"/>
        <v>9200</v>
      </c>
      <c r="E33" s="42">
        <f t="shared" si="5"/>
        <v>138190</v>
      </c>
      <c r="F33" s="42"/>
    </row>
    <row r="34" ht="15.75" customHeight="1">
      <c r="A34" s="6" t="s">
        <v>11</v>
      </c>
      <c r="B34" s="61">
        <f t="shared" ref="B34:E34" si="6">IF(B13&gt;0,B33/B13,0)</f>
        <v>0.4342903794</v>
      </c>
      <c r="C34" s="61">
        <f t="shared" si="6"/>
        <v>-0.04088669951</v>
      </c>
      <c r="D34" s="61">
        <f t="shared" si="6"/>
        <v>0.03194444444</v>
      </c>
      <c r="E34" s="61">
        <f t="shared" si="6"/>
        <v>0.2714931238</v>
      </c>
      <c r="F34" s="61"/>
    </row>
    <row r="35" ht="15.75" customHeight="1"/>
    <row r="36" ht="15.75" customHeight="1">
      <c r="A36" s="10" t="s">
        <v>260</v>
      </c>
      <c r="B36" s="49">
        <f>5000+B33</f>
        <v>97148.167</v>
      </c>
      <c r="C36" s="49">
        <f t="shared" ref="C36:E36" si="7">B36+C33</f>
        <v>88848.167</v>
      </c>
      <c r="D36" s="49">
        <f t="shared" si="7"/>
        <v>98048.167</v>
      </c>
      <c r="E36" s="49">
        <f t="shared" si="7"/>
        <v>236238.167</v>
      </c>
      <c r="F36" s="49"/>
    </row>
    <row r="37" ht="15.75" customHeight="1"/>
    <row r="38" ht="15.75" customHeight="1">
      <c r="A38" s="16" t="s">
        <v>294</v>
      </c>
      <c r="B38" s="17"/>
      <c r="C38" s="17"/>
      <c r="D38" s="17"/>
      <c r="E38" s="17"/>
      <c r="F38" s="17"/>
    </row>
    <row r="39" ht="15.75" customHeight="1">
      <c r="A39" s="8" t="s">
        <v>295</v>
      </c>
      <c r="B39" s="9">
        <f>Projections!B34</f>
        <v>212181</v>
      </c>
      <c r="C39" s="9">
        <f>Projections!C34</f>
        <v>328346</v>
      </c>
      <c r="D39" s="9">
        <f>Projections!D34</f>
        <v>817530</v>
      </c>
      <c r="E39" s="9">
        <f>Projections!E34</f>
        <v>1797500</v>
      </c>
      <c r="F39" s="9"/>
    </row>
    <row r="40" ht="15.75" customHeight="1">
      <c r="A40" s="6" t="s">
        <v>296</v>
      </c>
      <c r="B40" s="54">
        <f t="shared" ref="B40:E40" si="8">B13</f>
        <v>212181</v>
      </c>
      <c r="C40" s="54">
        <f t="shared" si="8"/>
        <v>203000</v>
      </c>
      <c r="D40" s="54">
        <f t="shared" si="8"/>
        <v>288000</v>
      </c>
      <c r="E40" s="54">
        <f t="shared" si="8"/>
        <v>509000</v>
      </c>
      <c r="F40" s="54"/>
    </row>
    <row r="41" ht="15.75" customHeight="1">
      <c r="A41" s="8" t="s">
        <v>297</v>
      </c>
      <c r="B41" s="80">
        <f t="shared" ref="B41:E41" si="9">B39-B40</f>
        <v>0</v>
      </c>
      <c r="C41" s="80">
        <f t="shared" si="9"/>
        <v>125346</v>
      </c>
      <c r="D41" s="80">
        <f t="shared" si="9"/>
        <v>529530</v>
      </c>
      <c r="E41" s="80">
        <f t="shared" si="9"/>
        <v>1288500</v>
      </c>
      <c r="F41" s="80"/>
    </row>
    <row r="42" ht="15.75" customHeight="1"/>
    <row r="43" ht="15.75" customHeight="1">
      <c r="A43" s="8" t="s">
        <v>298</v>
      </c>
      <c r="B43" s="9">
        <f>Projections!B39</f>
        <v>92148.167</v>
      </c>
      <c r="C43" s="9">
        <f>Projections!C39</f>
        <v>-269488.6</v>
      </c>
      <c r="D43" s="9">
        <f>Projections!D39</f>
        <v>-28223</v>
      </c>
      <c r="E43" s="9">
        <f>Projections!E39</f>
        <v>588725</v>
      </c>
      <c r="F43" s="9"/>
    </row>
    <row r="44" ht="15.75" customHeight="1">
      <c r="A44" s="6" t="s">
        <v>299</v>
      </c>
      <c r="B44" s="54">
        <f t="shared" ref="B44:E44" si="10">B33</f>
        <v>92148.167</v>
      </c>
      <c r="C44" s="54">
        <f t="shared" si="10"/>
        <v>-8300</v>
      </c>
      <c r="D44" s="54">
        <f t="shared" si="10"/>
        <v>9200</v>
      </c>
      <c r="E44" s="54">
        <f t="shared" si="10"/>
        <v>138190</v>
      </c>
      <c r="F44" s="54"/>
    </row>
    <row r="45" ht="15.75" customHeight="1"/>
    <row r="46" ht="15.75" customHeight="1">
      <c r="A46" s="6" t="s">
        <v>300</v>
      </c>
      <c r="B46" s="78">
        <f>Projections!B48</f>
        <v>97148.167</v>
      </c>
      <c r="C46" s="78">
        <f>Projections!C48</f>
        <v>190354.46</v>
      </c>
      <c r="D46" s="78">
        <f>Projections!D48</f>
        <v>97515.31991</v>
      </c>
      <c r="E46" s="78">
        <f>Projections!E48</f>
        <v>572625.6799</v>
      </c>
      <c r="F46" s="78"/>
    </row>
    <row r="47" ht="15.75" customHeight="1">
      <c r="A47" s="8" t="s">
        <v>301</v>
      </c>
      <c r="B47" s="80">
        <f t="shared" ref="B47:E47" si="11">B36</f>
        <v>97148.167</v>
      </c>
      <c r="C47" s="80">
        <f t="shared" si="11"/>
        <v>88848.167</v>
      </c>
      <c r="D47" s="80">
        <f t="shared" si="11"/>
        <v>98048.167</v>
      </c>
      <c r="E47" s="80">
        <f t="shared" si="11"/>
        <v>236238.167</v>
      </c>
      <c r="F47" s="80"/>
    </row>
    <row r="48" ht="15.75" customHeight="1"/>
    <row r="49" ht="15.75" customHeight="1">
      <c r="A49" s="76" t="s">
        <v>302</v>
      </c>
      <c r="B49" s="82" t="s">
        <v>303</v>
      </c>
    </row>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49:F49"/>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148C"/>
    <pageSetUpPr/>
  </sheetPr>
  <sheetViews>
    <sheetView workbookViewId="0"/>
  </sheetViews>
  <sheetFormatPr customHeight="1" defaultColWidth="14.43" defaultRowHeight="15.0"/>
  <cols>
    <col customWidth="1" min="1" max="1" width="42.0"/>
    <col customWidth="1" min="2" max="8" width="15.0"/>
    <col customWidth="1" min="9" max="9" width="30.0"/>
    <col customWidth="1" min="10" max="26" width="8.71"/>
  </cols>
  <sheetData>
    <row r="1">
      <c r="A1" s="1" t="s">
        <v>304</v>
      </c>
    </row>
    <row r="2">
      <c r="A2" s="41" t="s">
        <v>305</v>
      </c>
    </row>
    <row r="3">
      <c r="A3" s="25" t="s">
        <v>306</v>
      </c>
    </row>
    <row r="4">
      <c r="A4" s="3"/>
      <c r="B4" s="3" t="s">
        <v>2</v>
      </c>
      <c r="C4" s="3" t="s">
        <v>3</v>
      </c>
      <c r="D4" s="3" t="s">
        <v>4</v>
      </c>
      <c r="E4" s="3" t="s">
        <v>5</v>
      </c>
      <c r="F4" s="3" t="s">
        <v>307</v>
      </c>
      <c r="G4" s="3" t="s">
        <v>308</v>
      </c>
      <c r="H4" s="3" t="s">
        <v>309</v>
      </c>
      <c r="I4" s="3" t="s">
        <v>268</v>
      </c>
    </row>
    <row r="5">
      <c r="A5" s="16" t="s">
        <v>310</v>
      </c>
      <c r="B5" s="17"/>
      <c r="C5" s="17"/>
      <c r="D5" s="17"/>
      <c r="E5" s="17"/>
      <c r="F5" s="17"/>
      <c r="G5" s="17"/>
      <c r="H5" s="17"/>
      <c r="I5" s="17"/>
    </row>
    <row r="6">
      <c r="A6" s="10" t="s">
        <v>6</v>
      </c>
      <c r="B6" s="11">
        <f>Projections!B34</f>
        <v>212181</v>
      </c>
      <c r="C6" s="11">
        <f>Projections!C34</f>
        <v>328346</v>
      </c>
      <c r="D6" s="11">
        <f>Projections!D34</f>
        <v>817530</v>
      </c>
      <c r="E6" s="11">
        <f>Projections!E34</f>
        <v>1797500</v>
      </c>
      <c r="F6" s="11">
        <f>E6*(1+B9)</f>
        <v>2696250</v>
      </c>
      <c r="G6" s="11">
        <f>F6*(1+B9)</f>
        <v>4044375</v>
      </c>
      <c r="H6" s="11">
        <f>G6*(1+B9)</f>
        <v>6066562.5</v>
      </c>
      <c r="I6" s="11" t="s">
        <v>311</v>
      </c>
    </row>
    <row r="7">
      <c r="A7" s="8" t="s">
        <v>13</v>
      </c>
      <c r="B7" s="9">
        <f>Projections!B45</f>
        <v>92148.167</v>
      </c>
      <c r="C7" s="9">
        <f>Projections!C45</f>
        <v>-309645.54</v>
      </c>
      <c r="D7" s="9">
        <f>Projections!D45</f>
        <v>-92839.14004</v>
      </c>
      <c r="E7" s="9">
        <f>Projections!E45</f>
        <v>475110.36</v>
      </c>
      <c r="F7" s="9">
        <f>IF(E6&gt;0,F6*(E7/E6),0)</f>
        <v>712665.5399</v>
      </c>
      <c r="G7" s="9">
        <f>IF(E6&gt;0,G6*(E7/E6),0)</f>
        <v>1068998.31</v>
      </c>
      <c r="H7" s="9">
        <f>IF(E6&gt;0,H6*(E7/E6),0)</f>
        <v>1603497.465</v>
      </c>
      <c r="I7" s="9" t="s">
        <v>312</v>
      </c>
    </row>
    <row r="8">
      <c r="A8" s="6" t="s">
        <v>313</v>
      </c>
      <c r="B8" s="61"/>
      <c r="C8" s="61">
        <f t="shared" ref="C8:H8" si="1">IF(B6&gt;0,(C6-B6)/B6,0)</f>
        <v>0.5474806887</v>
      </c>
      <c r="D8" s="61">
        <f t="shared" si="1"/>
        <v>1.489843031</v>
      </c>
      <c r="E8" s="61">
        <f t="shared" si="1"/>
        <v>1.198696072</v>
      </c>
      <c r="F8" s="61">
        <f t="shared" si="1"/>
        <v>0.5</v>
      </c>
      <c r="G8" s="61">
        <f t="shared" si="1"/>
        <v>0.5</v>
      </c>
      <c r="H8" s="61">
        <f t="shared" si="1"/>
        <v>0.5</v>
      </c>
      <c r="I8" s="61"/>
    </row>
    <row r="9">
      <c r="A9" s="8" t="s">
        <v>314</v>
      </c>
      <c r="B9" s="83">
        <v>0.5</v>
      </c>
      <c r="C9" s="84"/>
      <c r="D9" s="84"/>
      <c r="E9" s="84"/>
      <c r="F9" s="84"/>
      <c r="G9" s="84"/>
      <c r="H9" s="84"/>
      <c r="I9" s="84" t="s">
        <v>315</v>
      </c>
    </row>
    <row r="10">
      <c r="A10" s="16" t="s">
        <v>316</v>
      </c>
      <c r="B10" s="17"/>
      <c r="C10" s="17"/>
      <c r="D10" s="17"/>
      <c r="E10" s="17"/>
      <c r="F10" s="17"/>
      <c r="G10" s="17"/>
      <c r="H10" s="17"/>
      <c r="I10" s="17"/>
    </row>
    <row r="11">
      <c r="A11" s="8" t="s">
        <v>317</v>
      </c>
      <c r="B11" s="85">
        <f t="shared" ref="B11:H11" si="2">B6*5</f>
        <v>1060905</v>
      </c>
      <c r="C11" s="85">
        <f t="shared" si="2"/>
        <v>1641730</v>
      </c>
      <c r="D11" s="85">
        <f t="shared" si="2"/>
        <v>4087650</v>
      </c>
      <c r="E11" s="85">
        <f t="shared" si="2"/>
        <v>8987500</v>
      </c>
      <c r="F11" s="85">
        <f t="shared" si="2"/>
        <v>13481250</v>
      </c>
      <c r="G11" s="85">
        <f t="shared" si="2"/>
        <v>20221875</v>
      </c>
      <c r="H11" s="85">
        <f t="shared" si="2"/>
        <v>30332812.5</v>
      </c>
      <c r="I11" s="85" t="s">
        <v>318</v>
      </c>
    </row>
    <row r="12">
      <c r="A12" s="6" t="s">
        <v>319</v>
      </c>
      <c r="B12" s="86">
        <f t="shared" ref="B12:H12" si="3">B6*8</f>
        <v>1697448</v>
      </c>
      <c r="C12" s="86">
        <f t="shared" si="3"/>
        <v>2626768</v>
      </c>
      <c r="D12" s="86">
        <f t="shared" si="3"/>
        <v>6540240</v>
      </c>
      <c r="E12" s="86">
        <f t="shared" si="3"/>
        <v>14380000</v>
      </c>
      <c r="F12" s="86">
        <f t="shared" si="3"/>
        <v>21570000</v>
      </c>
      <c r="G12" s="86">
        <f t="shared" si="3"/>
        <v>32355000</v>
      </c>
      <c r="H12" s="86">
        <f t="shared" si="3"/>
        <v>48532500</v>
      </c>
      <c r="I12" s="86" t="s">
        <v>320</v>
      </c>
    </row>
    <row r="13">
      <c r="A13" s="8" t="s">
        <v>321</v>
      </c>
      <c r="B13" s="85">
        <f t="shared" ref="B13:H13" si="4">B6*12</f>
        <v>2546172</v>
      </c>
      <c r="C13" s="85">
        <f t="shared" si="4"/>
        <v>3940152</v>
      </c>
      <c r="D13" s="85">
        <f t="shared" si="4"/>
        <v>9810360</v>
      </c>
      <c r="E13" s="85">
        <f t="shared" si="4"/>
        <v>21570000</v>
      </c>
      <c r="F13" s="85">
        <f t="shared" si="4"/>
        <v>32355000</v>
      </c>
      <c r="G13" s="85">
        <f t="shared" si="4"/>
        <v>48532500</v>
      </c>
      <c r="H13" s="85">
        <f t="shared" si="4"/>
        <v>72798750</v>
      </c>
      <c r="I13" s="85" t="s">
        <v>322</v>
      </c>
    </row>
    <row r="14">
      <c r="A14" s="6" t="s">
        <v>323</v>
      </c>
      <c r="B14" s="86">
        <f t="shared" ref="B14:H14" si="5">B6*15</f>
        <v>3182715</v>
      </c>
      <c r="C14" s="86">
        <f t="shared" si="5"/>
        <v>4925190</v>
      </c>
      <c r="D14" s="86">
        <f t="shared" si="5"/>
        <v>12262950</v>
      </c>
      <c r="E14" s="86">
        <f t="shared" si="5"/>
        <v>26962500</v>
      </c>
      <c r="F14" s="86">
        <f t="shared" si="5"/>
        <v>40443750</v>
      </c>
      <c r="G14" s="86">
        <f t="shared" si="5"/>
        <v>60665625</v>
      </c>
      <c r="H14" s="86">
        <f t="shared" si="5"/>
        <v>90998437.5</v>
      </c>
      <c r="I14" s="86" t="s">
        <v>324</v>
      </c>
    </row>
    <row r="16">
      <c r="A16" s="16" t="s">
        <v>325</v>
      </c>
      <c r="B16" s="17"/>
      <c r="C16" s="17"/>
      <c r="D16" s="17"/>
      <c r="E16" s="17"/>
      <c r="F16" s="17"/>
      <c r="G16" s="17"/>
      <c r="H16" s="17"/>
      <c r="I16" s="17"/>
    </row>
    <row r="17">
      <c r="A17" s="8" t="s">
        <v>326</v>
      </c>
      <c r="B17" s="85">
        <f t="shared" ref="B17:H17" si="6">IF(B7&gt;0,B7*10,0)</f>
        <v>921481.67</v>
      </c>
      <c r="C17" s="85">
        <f t="shared" si="6"/>
        <v>0</v>
      </c>
      <c r="D17" s="85">
        <f t="shared" si="6"/>
        <v>0</v>
      </c>
      <c r="E17" s="85">
        <f t="shared" si="6"/>
        <v>4751103.6</v>
      </c>
      <c r="F17" s="85">
        <f t="shared" si="6"/>
        <v>7126655.399</v>
      </c>
      <c r="G17" s="85">
        <f t="shared" si="6"/>
        <v>10689983.1</v>
      </c>
      <c r="H17" s="85">
        <f t="shared" si="6"/>
        <v>16034974.65</v>
      </c>
      <c r="I17" s="85" t="s">
        <v>327</v>
      </c>
    </row>
    <row r="18">
      <c r="A18" s="6" t="s">
        <v>328</v>
      </c>
      <c r="B18" s="86">
        <f t="shared" ref="B18:H18" si="7">IF(B7&gt;0,B7*15,0)</f>
        <v>1382222.505</v>
      </c>
      <c r="C18" s="86">
        <f t="shared" si="7"/>
        <v>0</v>
      </c>
      <c r="D18" s="86">
        <f t="shared" si="7"/>
        <v>0</v>
      </c>
      <c r="E18" s="86">
        <f t="shared" si="7"/>
        <v>7126655.399</v>
      </c>
      <c r="F18" s="86">
        <f t="shared" si="7"/>
        <v>10689983.1</v>
      </c>
      <c r="G18" s="86">
        <f t="shared" si="7"/>
        <v>16034974.65</v>
      </c>
      <c r="H18" s="86">
        <f t="shared" si="7"/>
        <v>24052461.97</v>
      </c>
      <c r="I18" s="86" t="s">
        <v>329</v>
      </c>
    </row>
    <row r="19">
      <c r="A19" s="8" t="s">
        <v>330</v>
      </c>
      <c r="B19" s="85">
        <f t="shared" ref="B19:H19" si="8">IF(B7&gt;0,B7*25,0)</f>
        <v>2303704.175</v>
      </c>
      <c r="C19" s="85">
        <f t="shared" si="8"/>
        <v>0</v>
      </c>
      <c r="D19" s="85">
        <f t="shared" si="8"/>
        <v>0</v>
      </c>
      <c r="E19" s="85">
        <f t="shared" si="8"/>
        <v>11877759</v>
      </c>
      <c r="F19" s="85">
        <f t="shared" si="8"/>
        <v>17816638.5</v>
      </c>
      <c r="G19" s="85">
        <f t="shared" si="8"/>
        <v>26724957.75</v>
      </c>
      <c r="H19" s="85">
        <f t="shared" si="8"/>
        <v>40087436.62</v>
      </c>
      <c r="I19" s="85" t="s">
        <v>331</v>
      </c>
    </row>
    <row r="21" ht="15.75" customHeight="1">
      <c r="A21" s="16" t="s">
        <v>332</v>
      </c>
      <c r="B21" s="17"/>
      <c r="C21" s="17"/>
      <c r="D21" s="17"/>
      <c r="E21" s="17"/>
      <c r="F21" s="17"/>
      <c r="G21" s="17"/>
      <c r="H21" s="17"/>
      <c r="I21" s="17"/>
    </row>
    <row r="22" ht="15.75" customHeight="1">
      <c r="A22" s="6" t="s">
        <v>22</v>
      </c>
      <c r="B22" s="78">
        <f>Dashboard!B23</f>
        <v>250000</v>
      </c>
      <c r="C22" s="78">
        <f>B22</f>
        <v>250000</v>
      </c>
      <c r="D22" s="78">
        <f>B22</f>
        <v>250000</v>
      </c>
      <c r="E22" s="78">
        <f>B22</f>
        <v>250000</v>
      </c>
      <c r="F22" s="78">
        <f>B22</f>
        <v>250000</v>
      </c>
      <c r="G22" s="78">
        <f>B22</f>
        <v>250000</v>
      </c>
      <c r="H22" s="78">
        <f>B22</f>
        <v>250000</v>
      </c>
      <c r="I22" s="78" t="s">
        <v>333</v>
      </c>
    </row>
    <row r="23" ht="15.75" customHeight="1"/>
    <row r="24" ht="15.75" customHeight="1">
      <c r="A24" s="87" t="s">
        <v>334</v>
      </c>
      <c r="B24" s="88"/>
      <c r="C24" s="88"/>
      <c r="D24" s="88"/>
      <c r="E24" s="88"/>
      <c r="F24" s="88"/>
      <c r="G24" s="88"/>
      <c r="H24" s="88"/>
      <c r="I24" s="88" t="s">
        <v>335</v>
      </c>
    </row>
    <row r="25" ht="15.75" customHeight="1">
      <c r="A25" s="45" t="s">
        <v>336</v>
      </c>
      <c r="B25" s="89">
        <f>IF(3000000&gt;0,B22/3000000,0)</f>
        <v>0.08333333333</v>
      </c>
      <c r="C25" s="89">
        <f>IF(3000000&gt;0,B22/3000000,0)</f>
        <v>0.08333333333</v>
      </c>
      <c r="D25" s="89">
        <f>IF(3000000&gt;0,B22/3000000,0)</f>
        <v>0.08333333333</v>
      </c>
      <c r="E25" s="89">
        <f>IF(3000000&gt;0,B22/3000000,0)</f>
        <v>0.08333333333</v>
      </c>
      <c r="F25" s="89">
        <f>IF(3000000&gt;0,B22/3000000,0)</f>
        <v>0.08333333333</v>
      </c>
      <c r="G25" s="89">
        <f>IF(3000000&gt;0,B22/3000000,0)</f>
        <v>0.08333333333</v>
      </c>
      <c r="H25" s="89">
        <f>IF(3000000&gt;0,B22/3000000,0)</f>
        <v>0.08333333333</v>
      </c>
      <c r="I25" s="89" t="s">
        <v>337</v>
      </c>
    </row>
    <row r="26" ht="15.75" customHeight="1">
      <c r="A26" s="43" t="s">
        <v>338</v>
      </c>
      <c r="B26" s="90">
        <f t="shared" ref="B26:H26" si="9">B25*B12</f>
        <v>141454</v>
      </c>
      <c r="C26" s="90">
        <f t="shared" si="9"/>
        <v>218897.3333</v>
      </c>
      <c r="D26" s="90">
        <f t="shared" si="9"/>
        <v>545020</v>
      </c>
      <c r="E26" s="90">
        <f t="shared" si="9"/>
        <v>1198333.333</v>
      </c>
      <c r="F26" s="90">
        <f t="shared" si="9"/>
        <v>1797500</v>
      </c>
      <c r="G26" s="90">
        <f t="shared" si="9"/>
        <v>2696250</v>
      </c>
      <c r="H26" s="90">
        <f t="shared" si="9"/>
        <v>4044375</v>
      </c>
      <c r="I26" s="90" t="s">
        <v>339</v>
      </c>
    </row>
    <row r="27" ht="15.75" customHeight="1">
      <c r="A27" s="45" t="s">
        <v>340</v>
      </c>
      <c r="B27" s="46">
        <f t="shared" ref="B27:H27" si="10">B25*B13</f>
        <v>212181</v>
      </c>
      <c r="C27" s="46">
        <f t="shared" si="10"/>
        <v>328346</v>
      </c>
      <c r="D27" s="46">
        <f t="shared" si="10"/>
        <v>817530</v>
      </c>
      <c r="E27" s="46">
        <f t="shared" si="10"/>
        <v>1797500</v>
      </c>
      <c r="F27" s="46">
        <f t="shared" si="10"/>
        <v>2696250</v>
      </c>
      <c r="G27" s="46">
        <f t="shared" si="10"/>
        <v>4044375</v>
      </c>
      <c r="H27" s="46">
        <f t="shared" si="10"/>
        <v>6066562.5</v>
      </c>
      <c r="I27" s="46" t="s">
        <v>341</v>
      </c>
    </row>
    <row r="28" ht="15.75" customHeight="1">
      <c r="A28" s="43" t="s">
        <v>342</v>
      </c>
      <c r="B28" s="91">
        <f>IF(B22&gt;0,B26/B22,0)</f>
        <v>0.565816</v>
      </c>
      <c r="C28" s="91">
        <f>IF(B22&gt;0,C26/B22,0)</f>
        <v>0.8755893333</v>
      </c>
      <c r="D28" s="91">
        <f>IF(B22&gt;0,D26/B22,0)</f>
        <v>2.18008</v>
      </c>
      <c r="E28" s="91">
        <f>IF(B22&gt;0,E26/B22,0)</f>
        <v>4.793333333</v>
      </c>
      <c r="F28" s="91">
        <f>IF(B22&gt;0,F26/B22,0)</f>
        <v>7.19</v>
      </c>
      <c r="G28" s="91">
        <f>IF(B22&gt;0,G26/B22,0)</f>
        <v>10.785</v>
      </c>
      <c r="H28" s="91">
        <f>IF(B22&gt;0,H26/B22,0)</f>
        <v>16.1775</v>
      </c>
      <c r="I28" s="91" t="s">
        <v>343</v>
      </c>
    </row>
    <row r="29" ht="15.75" customHeight="1">
      <c r="A29" s="87" t="s">
        <v>344</v>
      </c>
      <c r="B29" s="88"/>
      <c r="C29" s="88"/>
      <c r="D29" s="88"/>
      <c r="E29" s="88"/>
      <c r="F29" s="88"/>
      <c r="G29" s="88"/>
      <c r="H29" s="88"/>
      <c r="I29" s="88" t="s">
        <v>345</v>
      </c>
    </row>
    <row r="30" ht="15.75" customHeight="1">
      <c r="A30" s="43" t="s">
        <v>336</v>
      </c>
      <c r="B30" s="92">
        <f>IF(Dashboard!B32&gt;0,B22/Dashboard!B32,0)</f>
        <v>0.05</v>
      </c>
      <c r="C30" s="92">
        <f>IF(Dashboard!B32&gt;0,B22/Dashboard!B32,0)</f>
        <v>0.05</v>
      </c>
      <c r="D30" s="92">
        <f>IF(Dashboard!B32&gt;0,B22/Dashboard!B32,0)</f>
        <v>0.05</v>
      </c>
      <c r="E30" s="92">
        <f>IF(Dashboard!B32&gt;0,B22/Dashboard!B32,0)</f>
        <v>0.05</v>
      </c>
      <c r="F30" s="92">
        <f>IF(Dashboard!B32&gt;0,B22/Dashboard!B32,0)</f>
        <v>0.05</v>
      </c>
      <c r="G30" s="92">
        <f>IF(Dashboard!B32&gt;0,B22/Dashboard!B32,0)</f>
        <v>0.05</v>
      </c>
      <c r="H30" s="92">
        <f>IF(Dashboard!B32&gt;0,B22/Dashboard!B32,0)</f>
        <v>0.05</v>
      </c>
      <c r="I30" s="92" t="s">
        <v>337</v>
      </c>
    </row>
    <row r="31" ht="15.75" customHeight="1">
      <c r="A31" s="45" t="s">
        <v>338</v>
      </c>
      <c r="B31" s="46">
        <f t="shared" ref="B31:H31" si="11">B30*B12</f>
        <v>84872.4</v>
      </c>
      <c r="C31" s="46">
        <f t="shared" si="11"/>
        <v>131338.4</v>
      </c>
      <c r="D31" s="46">
        <f t="shared" si="11"/>
        <v>327012</v>
      </c>
      <c r="E31" s="46">
        <f t="shared" si="11"/>
        <v>719000</v>
      </c>
      <c r="F31" s="46">
        <f t="shared" si="11"/>
        <v>1078500</v>
      </c>
      <c r="G31" s="46">
        <f t="shared" si="11"/>
        <v>1617750</v>
      </c>
      <c r="H31" s="46">
        <f t="shared" si="11"/>
        <v>2426625</v>
      </c>
      <c r="I31" s="46" t="s">
        <v>339</v>
      </c>
    </row>
    <row r="32" ht="15.75" customHeight="1">
      <c r="A32" s="43" t="s">
        <v>340</v>
      </c>
      <c r="B32" s="90">
        <f t="shared" ref="B32:H32" si="12">B30*B13</f>
        <v>127308.6</v>
      </c>
      <c r="C32" s="90">
        <f t="shared" si="12"/>
        <v>197007.6</v>
      </c>
      <c r="D32" s="90">
        <f t="shared" si="12"/>
        <v>490518</v>
      </c>
      <c r="E32" s="90">
        <f t="shared" si="12"/>
        <v>1078500</v>
      </c>
      <c r="F32" s="90">
        <f t="shared" si="12"/>
        <v>1617750</v>
      </c>
      <c r="G32" s="90">
        <f t="shared" si="12"/>
        <v>2426625</v>
      </c>
      <c r="H32" s="90">
        <f t="shared" si="12"/>
        <v>3639937.5</v>
      </c>
      <c r="I32" s="90" t="s">
        <v>341</v>
      </c>
    </row>
    <row r="33" ht="15.75" customHeight="1">
      <c r="A33" s="45" t="s">
        <v>342</v>
      </c>
      <c r="B33" s="93">
        <f>IF(B22&gt;0,B31/B22,0)</f>
        <v>0.3394896</v>
      </c>
      <c r="C33" s="93">
        <f>IF(B22&gt;0,C31/B22,0)</f>
        <v>0.5253536</v>
      </c>
      <c r="D33" s="93">
        <f>IF(B22&gt;0,D31/B22,0)</f>
        <v>1.308048</v>
      </c>
      <c r="E33" s="93">
        <f>IF(B22&gt;0,E31/B22,0)</f>
        <v>2.876</v>
      </c>
      <c r="F33" s="93">
        <f>IF(B22&gt;0,F31/B22,0)</f>
        <v>4.314</v>
      </c>
      <c r="G33" s="93">
        <f>IF(B22&gt;0,G31/B22,0)</f>
        <v>6.471</v>
      </c>
      <c r="H33" s="93">
        <f>IF(B22&gt;0,H31/B22,0)</f>
        <v>9.7065</v>
      </c>
      <c r="I33" s="93" t="s">
        <v>343</v>
      </c>
    </row>
    <row r="34" ht="15.75" customHeight="1">
      <c r="A34" s="87" t="s">
        <v>346</v>
      </c>
      <c r="B34" s="88"/>
      <c r="C34" s="88"/>
      <c r="D34" s="88"/>
      <c r="E34" s="88"/>
      <c r="F34" s="88"/>
      <c r="G34" s="88"/>
      <c r="H34" s="88"/>
      <c r="I34" s="88" t="s">
        <v>347</v>
      </c>
    </row>
    <row r="35" ht="15.75" customHeight="1">
      <c r="A35" s="45" t="s">
        <v>336</v>
      </c>
      <c r="B35" s="89">
        <f>IF(8000000&gt;0,B22/8000000,0)</f>
        <v>0.03125</v>
      </c>
      <c r="C35" s="89">
        <f>IF(8000000&gt;0,B22/8000000,0)</f>
        <v>0.03125</v>
      </c>
      <c r="D35" s="89">
        <f>IF(8000000&gt;0,B22/8000000,0)</f>
        <v>0.03125</v>
      </c>
      <c r="E35" s="89">
        <f>IF(8000000&gt;0,B22/8000000,0)</f>
        <v>0.03125</v>
      </c>
      <c r="F35" s="89">
        <f>IF(8000000&gt;0,B22/8000000,0)</f>
        <v>0.03125</v>
      </c>
      <c r="G35" s="89">
        <f>IF(8000000&gt;0,B22/8000000,0)</f>
        <v>0.03125</v>
      </c>
      <c r="H35" s="89">
        <f>IF(8000000&gt;0,B22/8000000,0)</f>
        <v>0.03125</v>
      </c>
      <c r="I35" s="89" t="s">
        <v>337</v>
      </c>
    </row>
    <row r="36" ht="15.75" customHeight="1">
      <c r="A36" s="43" t="s">
        <v>338</v>
      </c>
      <c r="B36" s="90">
        <f t="shared" ref="B36:H36" si="13">B35*B12</f>
        <v>53045.25</v>
      </c>
      <c r="C36" s="90">
        <f t="shared" si="13"/>
        <v>82086.5</v>
      </c>
      <c r="D36" s="90">
        <f t="shared" si="13"/>
        <v>204382.5</v>
      </c>
      <c r="E36" s="90">
        <f t="shared" si="13"/>
        <v>449375</v>
      </c>
      <c r="F36" s="90">
        <f t="shared" si="13"/>
        <v>674062.5</v>
      </c>
      <c r="G36" s="90">
        <f t="shared" si="13"/>
        <v>1011093.75</v>
      </c>
      <c r="H36" s="90">
        <f t="shared" si="13"/>
        <v>1516640.625</v>
      </c>
      <c r="I36" s="90" t="s">
        <v>339</v>
      </c>
    </row>
    <row r="37" ht="15.75" customHeight="1">
      <c r="A37" s="45" t="s">
        <v>340</v>
      </c>
      <c r="B37" s="46">
        <f t="shared" ref="B37:H37" si="14">B35*B13</f>
        <v>79567.875</v>
      </c>
      <c r="C37" s="46">
        <f t="shared" si="14"/>
        <v>123129.75</v>
      </c>
      <c r="D37" s="46">
        <f t="shared" si="14"/>
        <v>306573.75</v>
      </c>
      <c r="E37" s="46">
        <f t="shared" si="14"/>
        <v>674062.5</v>
      </c>
      <c r="F37" s="46">
        <f t="shared" si="14"/>
        <v>1011093.75</v>
      </c>
      <c r="G37" s="46">
        <f t="shared" si="14"/>
        <v>1516640.625</v>
      </c>
      <c r="H37" s="46">
        <f t="shared" si="14"/>
        <v>2274960.938</v>
      </c>
      <c r="I37" s="46" t="s">
        <v>341</v>
      </c>
    </row>
    <row r="38" ht="15.75" customHeight="1">
      <c r="A38" s="43" t="s">
        <v>342</v>
      </c>
      <c r="B38" s="91">
        <f>IF(B22&gt;0,B36/B22,0)</f>
        <v>0.212181</v>
      </c>
      <c r="C38" s="91">
        <f>IF(B22&gt;0,C36/B22,0)</f>
        <v>0.328346</v>
      </c>
      <c r="D38" s="91">
        <f>IF(B22&gt;0,D36/B22,0)</f>
        <v>0.81753</v>
      </c>
      <c r="E38" s="91">
        <f>IF(B22&gt;0,E36/B22,0)</f>
        <v>1.7975</v>
      </c>
      <c r="F38" s="91">
        <f>IF(B22&gt;0,F36/B22,0)</f>
        <v>2.69625</v>
      </c>
      <c r="G38" s="91">
        <f>IF(B22&gt;0,G36/B22,0)</f>
        <v>4.044375</v>
      </c>
      <c r="H38" s="91">
        <f>IF(B22&gt;0,H36/B22,0)</f>
        <v>6.0665625</v>
      </c>
      <c r="I38" s="91" t="s">
        <v>343</v>
      </c>
    </row>
    <row r="39" ht="15.75" customHeight="1">
      <c r="A39" s="16" t="s">
        <v>348</v>
      </c>
      <c r="B39" s="17"/>
      <c r="C39" s="17"/>
      <c r="D39" s="17"/>
      <c r="E39" s="17"/>
      <c r="F39" s="17"/>
      <c r="G39" s="17"/>
      <c r="H39" s="17"/>
      <c r="I39" s="17"/>
    </row>
    <row r="40" ht="15.75" customHeight="1">
      <c r="A40" s="6" t="s">
        <v>24</v>
      </c>
      <c r="B40" s="78">
        <f>Dashboard!B24</f>
        <v>150000</v>
      </c>
      <c r="C40" s="78"/>
      <c r="D40" s="78"/>
      <c r="E40" s="78"/>
      <c r="F40" s="78"/>
      <c r="G40" s="78"/>
      <c r="H40" s="78"/>
      <c r="I40" s="78" t="s">
        <v>333</v>
      </c>
    </row>
    <row r="41" ht="15.75" customHeight="1">
      <c r="A41" s="8" t="s">
        <v>349</v>
      </c>
      <c r="B41" s="94">
        <f>Dashboard!B28</f>
        <v>0.05</v>
      </c>
      <c r="C41" s="94"/>
      <c r="D41" s="94"/>
      <c r="E41" s="94"/>
      <c r="F41" s="94"/>
      <c r="G41" s="94"/>
      <c r="H41" s="94"/>
      <c r="I41" s="94" t="s">
        <v>350</v>
      </c>
    </row>
    <row r="42" ht="15.75" customHeight="1">
      <c r="A42" s="6" t="s">
        <v>351</v>
      </c>
      <c r="B42" s="14">
        <f>Dashboard!B29</f>
        <v>1.5</v>
      </c>
      <c r="C42" s="14"/>
      <c r="D42" s="14"/>
      <c r="E42" s="14"/>
      <c r="F42" s="14"/>
      <c r="G42" s="14"/>
      <c r="H42" s="14"/>
      <c r="I42" s="14" t="s">
        <v>350</v>
      </c>
    </row>
    <row r="43" ht="15.75" customHeight="1">
      <c r="A43" s="4" t="s">
        <v>352</v>
      </c>
      <c r="B43" s="42">
        <f>B40*B42</f>
        <v>225000</v>
      </c>
      <c r="C43" s="42"/>
      <c r="D43" s="42"/>
      <c r="E43" s="42"/>
      <c r="F43" s="42"/>
      <c r="G43" s="42"/>
      <c r="H43" s="42"/>
      <c r="I43" s="42" t="s">
        <v>353</v>
      </c>
    </row>
    <row r="44" ht="15.75" customHeight="1"/>
    <row r="45" ht="15.75" customHeight="1">
      <c r="A45" s="8" t="s">
        <v>354</v>
      </c>
      <c r="B45" s="9">
        <f>B6*B41</f>
        <v>10609.05</v>
      </c>
      <c r="C45" s="9">
        <f>C6*B41</f>
        <v>16417.3</v>
      </c>
      <c r="D45" s="9">
        <f>D6*B41</f>
        <v>40876.5</v>
      </c>
      <c r="E45" s="9">
        <f>E6*B41</f>
        <v>89875</v>
      </c>
      <c r="F45" s="9">
        <f>F6*B41</f>
        <v>134812.5</v>
      </c>
      <c r="G45" s="9">
        <f>G6*B41</f>
        <v>202218.75</v>
      </c>
      <c r="H45" s="9">
        <f>H6*B41</f>
        <v>303328.125</v>
      </c>
      <c r="I45" s="9" t="s">
        <v>355</v>
      </c>
    </row>
    <row r="46" ht="15.75" customHeight="1">
      <c r="A46" s="10" t="s">
        <v>356</v>
      </c>
      <c r="B46" s="49">
        <f>MIN(B45,B43)</f>
        <v>10609.05</v>
      </c>
      <c r="C46" s="49">
        <f>MIN(B46+C45,B43)</f>
        <v>27026.35</v>
      </c>
      <c r="D46" s="49">
        <f>MIN(C46+D45,B43)</f>
        <v>67902.85</v>
      </c>
      <c r="E46" s="49">
        <f>MIN(D46+E45,B43)</f>
        <v>157777.85</v>
      </c>
      <c r="F46" s="49">
        <f>MIN(E46+F45,B43)</f>
        <v>225000</v>
      </c>
      <c r="G46" s="49">
        <f>MIN(F46+G45,B43)</f>
        <v>225000</v>
      </c>
      <c r="H46" s="49">
        <f>MIN(G46+H45,B43)</f>
        <v>225000</v>
      </c>
      <c r="I46" s="49" t="s">
        <v>357</v>
      </c>
    </row>
    <row r="47" ht="15.75" customHeight="1">
      <c r="A47" s="8" t="s">
        <v>358</v>
      </c>
      <c r="B47" s="80">
        <f>MAX(0,B43-B46)</f>
        <v>214390.95</v>
      </c>
      <c r="C47" s="80">
        <f>MAX(0,B43-C46)</f>
        <v>197973.65</v>
      </c>
      <c r="D47" s="80">
        <f>MAX(0,B43-D46)</f>
        <v>157097.15</v>
      </c>
      <c r="E47" s="80">
        <f>MAX(0,B43-E46)</f>
        <v>67222.15</v>
      </c>
      <c r="F47" s="80">
        <f>MAX(0,B43-F46)</f>
        <v>0</v>
      </c>
      <c r="G47" s="80">
        <f>MAX(0,B43-G46)</f>
        <v>0</v>
      </c>
      <c r="H47" s="80">
        <f>MAX(0,B43-H46)</f>
        <v>0</v>
      </c>
      <c r="I47" s="80" t="s">
        <v>359</v>
      </c>
    </row>
    <row r="48" ht="15.75" customHeight="1">
      <c r="A48" s="6" t="s">
        <v>360</v>
      </c>
      <c r="B48" s="95" t="str">
        <f t="shared" ref="B48:H48" si="15">IF(B47&lt;=0,"YES","NO")</f>
        <v>NO</v>
      </c>
      <c r="C48" s="95" t="str">
        <f t="shared" si="15"/>
        <v>NO</v>
      </c>
      <c r="D48" s="95" t="str">
        <f t="shared" si="15"/>
        <v>NO</v>
      </c>
      <c r="E48" s="95" t="str">
        <f t="shared" si="15"/>
        <v>NO</v>
      </c>
      <c r="F48" s="95" t="str">
        <f t="shared" si="15"/>
        <v>YES</v>
      </c>
      <c r="G48" s="95" t="str">
        <f t="shared" si="15"/>
        <v>YES</v>
      </c>
      <c r="H48" s="95" t="str">
        <f t="shared" si="15"/>
        <v>YES</v>
      </c>
      <c r="I48" s="95"/>
    </row>
    <row r="49" ht="15.75" customHeight="1"/>
    <row r="50" ht="15.75" customHeight="1">
      <c r="A50" s="16" t="s">
        <v>361</v>
      </c>
      <c r="B50" s="17"/>
      <c r="C50" s="17"/>
      <c r="D50" s="17"/>
      <c r="E50" s="17"/>
      <c r="F50" s="17"/>
      <c r="G50" s="17"/>
      <c r="H50" s="17"/>
      <c r="I50" s="17"/>
    </row>
    <row r="51" ht="15.75" customHeight="1">
      <c r="A51" s="8" t="s">
        <v>26</v>
      </c>
      <c r="B51" s="9">
        <f>Dashboard!B25</f>
        <v>100000</v>
      </c>
      <c r="C51" s="9"/>
      <c r="D51" s="9"/>
      <c r="E51" s="9"/>
      <c r="F51" s="9"/>
      <c r="G51" s="9"/>
      <c r="H51" s="9"/>
      <c r="I51" s="9" t="s">
        <v>333</v>
      </c>
    </row>
    <row r="52" ht="15.75" customHeight="1">
      <c r="A52" s="6" t="s">
        <v>362</v>
      </c>
      <c r="B52" s="7">
        <f>Dashboard!B30</f>
        <v>0.06</v>
      </c>
      <c r="C52" s="7"/>
      <c r="D52" s="7"/>
      <c r="E52" s="7"/>
      <c r="F52" s="7"/>
      <c r="G52" s="7"/>
      <c r="H52" s="7"/>
      <c r="I52" s="7" t="s">
        <v>350</v>
      </c>
    </row>
    <row r="53" ht="15.75" customHeight="1">
      <c r="A53" s="8" t="s">
        <v>363</v>
      </c>
      <c r="B53" s="12">
        <f>Dashboard!B31</f>
        <v>5</v>
      </c>
      <c r="C53" s="12"/>
      <c r="D53" s="12"/>
      <c r="E53" s="12"/>
      <c r="F53" s="12"/>
      <c r="G53" s="12"/>
      <c r="H53" s="12"/>
      <c r="I53" s="12" t="s">
        <v>350</v>
      </c>
    </row>
    <row r="54" ht="15.75" customHeight="1">
      <c r="A54" s="10" t="s">
        <v>364</v>
      </c>
      <c r="B54" s="49">
        <f>PMT(B52,B53,-B51)</f>
        <v>23739.64004</v>
      </c>
      <c r="C54" s="49"/>
      <c r="D54" s="49"/>
      <c r="E54" s="49"/>
      <c r="F54" s="49"/>
      <c r="G54" s="49"/>
      <c r="H54" s="49"/>
      <c r="I54" s="49" t="s">
        <v>365</v>
      </c>
    </row>
    <row r="55" ht="15.75" customHeight="1"/>
    <row r="56" ht="15.75" customHeight="1">
      <c r="A56" s="6" t="s">
        <v>366</v>
      </c>
      <c r="B56" s="54">
        <v>0.0</v>
      </c>
      <c r="C56" s="54">
        <f>B54</f>
        <v>23739.64004</v>
      </c>
      <c r="D56" s="54">
        <f>B54</f>
        <v>23739.64004</v>
      </c>
      <c r="E56" s="54">
        <f>B54</f>
        <v>23739.64004</v>
      </c>
      <c r="F56" s="54">
        <f>B54</f>
        <v>23739.64004</v>
      </c>
      <c r="G56" s="54">
        <f>B54</f>
        <v>23739.64004</v>
      </c>
      <c r="H56" s="54">
        <v>0.0</v>
      </c>
      <c r="I56" s="54" t="s">
        <v>367</v>
      </c>
    </row>
    <row r="57" ht="15.75" customHeight="1">
      <c r="A57" s="8" t="s">
        <v>356</v>
      </c>
      <c r="B57" s="80">
        <f>B56</f>
        <v>0</v>
      </c>
      <c r="C57" s="80">
        <f t="shared" ref="C57:H57" si="16">B57+C56</f>
        <v>23739.64004</v>
      </c>
      <c r="D57" s="80">
        <f t="shared" si="16"/>
        <v>47479.28009</v>
      </c>
      <c r="E57" s="80">
        <f t="shared" si="16"/>
        <v>71218.92013</v>
      </c>
      <c r="F57" s="80">
        <f t="shared" si="16"/>
        <v>94958.56017</v>
      </c>
      <c r="G57" s="80">
        <f t="shared" si="16"/>
        <v>118698.2002</v>
      </c>
      <c r="H57" s="80">
        <f t="shared" si="16"/>
        <v>118698.2002</v>
      </c>
      <c r="I57" s="80"/>
    </row>
    <row r="58" ht="15.75" customHeight="1">
      <c r="A58" s="6" t="s">
        <v>368</v>
      </c>
      <c r="B58" s="54">
        <f>B54*B53-B51</f>
        <v>18698.20022</v>
      </c>
      <c r="C58" s="54"/>
      <c r="D58" s="54"/>
      <c r="E58" s="54"/>
      <c r="F58" s="54"/>
      <c r="G58" s="54"/>
      <c r="H58" s="54"/>
      <c r="I58" s="54" t="s">
        <v>369</v>
      </c>
    </row>
    <row r="59" ht="15.75" customHeight="1"/>
    <row r="60" ht="15.75" customHeight="1">
      <c r="A60" s="16" t="s">
        <v>370</v>
      </c>
      <c r="B60" s="17"/>
      <c r="C60" s="17"/>
      <c r="D60" s="17"/>
      <c r="E60" s="17"/>
      <c r="F60" s="17"/>
      <c r="G60" s="17"/>
      <c r="H60" s="17"/>
      <c r="I60" s="17"/>
    </row>
    <row r="61" ht="15.75" customHeight="1">
      <c r="A61" s="4" t="s">
        <v>371</v>
      </c>
      <c r="B61" s="5">
        <f>Dashboard!B26</f>
        <v>500000</v>
      </c>
      <c r="C61" s="5"/>
      <c r="D61" s="5"/>
      <c r="E61" s="5"/>
      <c r="F61" s="5"/>
      <c r="G61" s="5"/>
      <c r="H61" s="5"/>
      <c r="I61" s="5" t="s">
        <v>372</v>
      </c>
    </row>
    <row r="62" ht="15.75" customHeight="1">
      <c r="A62" s="43" t="s">
        <v>373</v>
      </c>
      <c r="B62" s="90">
        <f>B22</f>
        <v>250000</v>
      </c>
      <c r="C62" s="90">
        <f>B22/B61</f>
        <v>0.5</v>
      </c>
      <c r="D62" s="90"/>
      <c r="E62" s="90"/>
      <c r="F62" s="90"/>
      <c r="G62" s="90"/>
      <c r="H62" s="90"/>
      <c r="I62" s="90"/>
    </row>
    <row r="63" ht="15.75" customHeight="1">
      <c r="A63" s="45" t="s">
        <v>374</v>
      </c>
      <c r="B63" s="46">
        <f>B40</f>
        <v>150000</v>
      </c>
      <c r="C63" s="46">
        <f>B40/B61</f>
        <v>0.3</v>
      </c>
      <c r="D63" s="46"/>
      <c r="E63" s="46"/>
      <c r="F63" s="46"/>
      <c r="G63" s="46"/>
      <c r="H63" s="46"/>
      <c r="I63" s="46"/>
    </row>
    <row r="64" ht="15.75" customHeight="1">
      <c r="A64" s="43" t="s">
        <v>375</v>
      </c>
      <c r="B64" s="90">
        <f>B51</f>
        <v>100000</v>
      </c>
      <c r="C64" s="90">
        <f>B51/B61</f>
        <v>0.2</v>
      </c>
      <c r="D64" s="90"/>
      <c r="E64" s="90"/>
      <c r="F64" s="90"/>
      <c r="G64" s="90"/>
      <c r="H64" s="90"/>
      <c r="I64" s="90"/>
    </row>
    <row r="65" ht="15.75" customHeight="1"/>
    <row r="66" ht="15.75" customHeight="1">
      <c r="A66" s="10" t="s">
        <v>376</v>
      </c>
      <c r="B66" s="49">
        <f t="shared" ref="B66:H66" si="17">B45+B56</f>
        <v>10609.05</v>
      </c>
      <c r="C66" s="49">
        <f t="shared" si="17"/>
        <v>40156.94004</v>
      </c>
      <c r="D66" s="49">
        <f t="shared" si="17"/>
        <v>64616.14004</v>
      </c>
      <c r="E66" s="49">
        <f t="shared" si="17"/>
        <v>113614.64</v>
      </c>
      <c r="F66" s="49">
        <f t="shared" si="17"/>
        <v>158552.14</v>
      </c>
      <c r="G66" s="49">
        <f t="shared" si="17"/>
        <v>225958.39</v>
      </c>
      <c r="H66" s="49">
        <f t="shared" si="17"/>
        <v>303328.125</v>
      </c>
      <c r="I66" s="49" t="s">
        <v>377</v>
      </c>
    </row>
    <row r="67" ht="15.75" customHeight="1">
      <c r="A67" s="8" t="s">
        <v>378</v>
      </c>
      <c r="B67" s="62">
        <f t="shared" ref="B67:H67" si="18">IF(B6&gt;0,B66/B6,0)</f>
        <v>0.05</v>
      </c>
      <c r="C67" s="62">
        <f t="shared" si="18"/>
        <v>0.1223006829</v>
      </c>
      <c r="D67" s="62">
        <f t="shared" si="18"/>
        <v>0.07903824941</v>
      </c>
      <c r="E67" s="62">
        <f t="shared" si="18"/>
        <v>0.06320703201</v>
      </c>
      <c r="F67" s="62">
        <f t="shared" si="18"/>
        <v>0.05880468801</v>
      </c>
      <c r="G67" s="62">
        <f t="shared" si="18"/>
        <v>0.05586979201</v>
      </c>
      <c r="H67" s="62">
        <f t="shared" si="18"/>
        <v>0.05</v>
      </c>
      <c r="I67" s="62"/>
    </row>
    <row r="68" ht="15.75" customHeight="1"/>
    <row r="69" ht="15.75" customHeight="1">
      <c r="A69" s="8" t="s">
        <v>379</v>
      </c>
      <c r="B69" s="94">
        <f>Dashboard!B34</f>
        <v>0.05</v>
      </c>
      <c r="C69" s="94"/>
      <c r="D69" s="94"/>
      <c r="E69" s="94"/>
      <c r="F69" s="94"/>
      <c r="G69" s="94"/>
      <c r="H69" s="94"/>
      <c r="I69" s="94" t="s">
        <v>372</v>
      </c>
    </row>
    <row r="70" ht="15.75" customHeight="1">
      <c r="A70" s="10" t="s">
        <v>44</v>
      </c>
      <c r="B70" s="96">
        <f>Dashboard!B38</f>
        <v>0.95</v>
      </c>
      <c r="C70" s="96"/>
      <c r="D70" s="96"/>
      <c r="E70" s="96"/>
      <c r="F70" s="96"/>
      <c r="G70" s="96"/>
      <c r="H70" s="96"/>
      <c r="I70" s="96"/>
    </row>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2026-03-05T22:46:56Z</dcterms:created>
  <dc:creator>openpyxl</dc:creator>
</cp:coreProperties>
</file>