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ssumptions" sheetId="2" state="visible" r:id="rId4"/>
    <sheet name="Raise Progression" sheetId="3" state="visible" r:id="rId5"/>
    <sheet name="Historical P&amp;L" sheetId="4" state="visible" r:id="rId6"/>
    <sheet name="2026 Monthly P&amp;L" sheetId="5" state="visible" r:id="rId7"/>
    <sheet name="Projections" sheetId="6" state="visible" r:id="rId8"/>
    <sheet name="Bootstrapped" sheetId="7" state="visible" r:id="rId9"/>
    <sheet name="Valuation &amp; Exit" sheetId="8" state="visible" r:id="rId10"/>
  </sheets>
  <definedNames>
    <definedName function="false" hidden="false" localSheetId="2" name="_xlnm.Print_Area" vbProcedure="false">'Raise Progression'!$A$1:$O$54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<sst xmlns="http://schemas.openxmlformats.org/spreadsheetml/2006/main" count="792" uniqueCount="644">
  <si>
    <t xml:space="preserve">SENGO FINANCIAL DASHBOARD</t>
  </si>
  <si>
    <t xml:space="preserve">Summary view — all cells driven by model</t>
  </si>
  <si>
    <t xml:space="preserve">2025</t>
  </si>
  <si>
    <t xml:space="preserve">2026</t>
  </si>
  <si>
    <t xml:space="preserve">2027</t>
  </si>
  <si>
    <t xml:space="preserve">2028</t>
  </si>
  <si>
    <t xml:space="preserve">Total Revenue</t>
  </si>
  <si>
    <t xml:space="preserve">Revenue Growth %</t>
  </si>
  <si>
    <t xml:space="preserve">Gross Profit</t>
  </si>
  <si>
    <t xml:space="preserve">Gross Margin</t>
  </si>
  <si>
    <t xml:space="preserve">Operating Income</t>
  </si>
  <si>
    <t xml:space="preserve">Operating Margin</t>
  </si>
  <si>
    <t xml:space="preserve">Debt Service</t>
  </si>
  <si>
    <t xml:space="preserve">Net Income</t>
  </si>
  <si>
    <t xml:space="preserve">Cash Position</t>
  </si>
  <si>
    <t xml:space="preserve">SaaS Subscribers</t>
  </si>
  <si>
    <t xml:space="preserve">Coaching Clients</t>
  </si>
  <si>
    <t xml:space="preserve">Email Subscribers</t>
  </si>
  <si>
    <t xml:space="preserve">LTV:CAC</t>
  </si>
  <si>
    <t xml:space="preserve">Implied Valuation (8x Rev)</t>
  </si>
  <si>
    <t xml:space="preserve">FUNDRAISE SCENARIO</t>
  </si>
  <si>
    <t xml:space="preserve">Change blue cells below — model updates automatically</t>
  </si>
  <si>
    <t xml:space="preserve">SAFE Investment Amount</t>
  </si>
  <si>
    <t xml:space="preserve">Portion of raise structured as SAFE</t>
  </si>
  <si>
    <t xml:space="preserve">RBF Investment Amount</t>
  </si>
  <si>
    <t xml:space="preserve">Portion structured as revenue-based financing</t>
  </si>
  <si>
    <t xml:space="preserve">CDFI Loan Amount</t>
  </si>
  <si>
    <t xml:space="preserve">Portion structured as CDFI loan</t>
  </si>
  <si>
    <t xml:space="preserve">Total Raise</t>
  </si>
  <si>
    <t xml:space="preserve">SAFE + RBF + CDFI</t>
  </si>
  <si>
    <t xml:space="preserve">RBF Revenue Share %</t>
  </si>
  <si>
    <t xml:space="preserve">Typical 3-8% of monthly revenue</t>
  </si>
  <si>
    <t xml:space="preserve">RBF Repayment Cap (multiple)</t>
  </si>
  <si>
    <t xml:space="preserve">Max repayment = investment x cap</t>
  </si>
  <si>
    <t xml:space="preserve">CDFI Interest Rate</t>
  </si>
  <si>
    <t xml:space="preserve">CDFI rates typically 4-8%</t>
  </si>
  <si>
    <t xml:space="preserve">CDFI Loan Term (years)</t>
  </si>
  <si>
    <t xml:space="preserve">Typical 3-7 year term</t>
  </si>
  <si>
    <t xml:space="preserve">SAFE Valuation Cap</t>
  </si>
  <si>
    <t xml:space="preserve">Pre-money cap on SAFE note</t>
  </si>
  <si>
    <t xml:space="preserve">SAFE Equity Dilution</t>
  </si>
  <si>
    <t xml:space="preserve">RBF Max Repayment</t>
  </si>
  <si>
    <t xml:space="preserve">CDFI Annual Payment (PMT)</t>
  </si>
  <si>
    <t xml:space="preserve">Annual Debt Service (2026 est.)</t>
  </si>
  <si>
    <t xml:space="preserve">Founder Ownership Retained</t>
  </si>
  <si>
    <t xml:space="preserve">HOW TO REVIEW THIS MODEL</t>
  </si>
  <si>
    <t xml:space="preserve">1. Start here on the Dashboard</t>
  </si>
  <si>
    <t xml:space="preserve">This tab summarizes the full model. Scroll down to adjust the fundraise scenario.</t>
  </si>
  <si>
    <t xml:space="preserve">2. Adjust the fundraise mix above</t>
  </si>
  <si>
    <t xml:space="preserve">Change SAFE, RBF, and CDFI amounts in the blue cells (rows 23-25). Change the valuation cap (row 32). All downstream tabs update automatically: debt service, valuations, cash position, and net income.</t>
  </si>
  <si>
    <t xml:space="preserve">3. Review the Assumptions tab</t>
  </si>
  <si>
    <t xml:space="preserve">All revenue projections, expense budgets, and growth targets are here. Blue cells are editable. Expand collapsed rows (+) to see product-level and role-level detail.</t>
  </si>
  <si>
    <t xml:space="preserve">4. Check the 2026 Monthly P&amp;L</t>
  </si>
  <si>
    <t xml:space="preserve">January and February are QuickBooks actuals (blue columns). March onward is budget (yellow columns). This is your real-time pulse on how 2026 is tracking.</t>
  </si>
  <si>
    <t xml:space="preserve">5. Review the Projections tab</t>
  </si>
  <si>
    <t xml:space="preserve">3-year P&amp;L pulling from Assumptions. Includes a Debt Service section (RBF + CDFI payments) between Operating Income and Net Income. Cash Position includes the pre-seed raise.</t>
  </si>
  <si>
    <t xml:space="preserve">6. Compare Bootstrapped scenario</t>
  </si>
  <si>
    <t xml:space="preserve">Shows what growth looks like without raising. Always profitable but slower. Side-by-side comparison to the funded scenario at the bottom.</t>
  </si>
  <si>
    <t xml:space="preserve">7. Explore Valuation &amp; Exit</t>
  </si>
  <si>
    <t xml:space="preserve">Revenue and income multiples, three SAFE cap scenarios (including your target cap from row 32), full RBF repayment schedule, CDFI amortization, and combined fund structure. All driven by the inputs you set on this Dashboard.</t>
  </si>
  <si>
    <t xml:space="preserve">TIP</t>
  </si>
  <si>
    <t xml:space="preserve">Try different SAFE/RBF/CDFI splits and valuation caps above — watch how Net Income, Cash Position, dilution, and Valuation change across the model. The debt service flows through Projections into the Valuation tab.</t>
  </si>
  <si>
    <t xml:space="preserve">SENGO FINANCIAL MODEL</t>
  </si>
  <si>
    <t xml:space="preserve">Assumptions &amp; Inputs</t>
  </si>
  <si>
    <t xml:space="preserve">Blue = editable  |  Expand rows for product/role detail</t>
  </si>
  <si>
    <t xml:space="preserve">2025 (Actual)</t>
  </si>
  <si>
    <t xml:space="preserve">2026 (Proj)</t>
  </si>
  <si>
    <t xml:space="preserve">2027 (Proj)</t>
  </si>
  <si>
    <t xml:space="preserve">2028 (Proj)</t>
  </si>
  <si>
    <t xml:space="preserve">Notes / Source</t>
  </si>
  <si>
    <t xml:space="preserve">REVENUE ASSUMPTIONS</t>
  </si>
  <si>
    <t xml:space="preserve">SaaS Annual Revenue</t>
  </si>
  <si>
    <t xml:space="preserve">Sum of 4 tier revenues below</t>
  </si>
  <si>
    <t xml:space="preserve">    Legacy Subscribers ($7/mo)</t>
  </si>
  <si>
    <t xml:space="preserve">Original tier; 13 current (Mar '26). Phased out after 2026</t>
  </si>
  <si>
    <t xml:space="preserve">    Legacy Annual Revenue</t>
  </si>
  <si>
    <t xml:space="preserve">    Investor Subscribers ($10/mo)</t>
  </si>
  <si>
    <t xml:space="preserve">4 current (Mar '26); curated deal flow</t>
  </si>
  <si>
    <t xml:space="preserve">    Investor Annual Revenue</t>
  </si>
  <si>
    <t xml:space="preserve">    Founder Subscribers ($15/mo)</t>
  </si>
  <si>
    <t xml:space="preserve">112 current (Mar '26); primary growth tier</t>
  </si>
  <si>
    <t xml:space="preserve">    Founder Annual Revenue</t>
  </si>
  <si>
    <t xml:space="preserve">    All Access Subscribers ($25/mo)</t>
  </si>
  <si>
    <t xml:space="preserve">3 current (Mar '26); full platform access</t>
  </si>
  <si>
    <t xml:space="preserve">    All Access Annual Revenue</t>
  </si>
  <si>
    <t xml:space="preserve">Coaching Annual Revenue</t>
  </si>
  <si>
    <t xml:space="preserve">Sum of tier revenues + deferred payouts</t>
  </si>
  <si>
    <t xml:space="preserve">    Legacy Clients ($500/mo)</t>
  </si>
  <si>
    <t xml:space="preserve">Phasing out legacy tier</t>
  </si>
  <si>
    <t xml:space="preserve">    Foundation Clients ($1,000/mo)</t>
  </si>
  <si>
    <t xml:space="preserve">Deferred payment plans available; $500/mo til first check</t>
  </si>
  <si>
    <t xml:space="preserve">    Foundation Annual Revenue</t>
  </si>
  <si>
    <t xml:space="preserve">    Accelerator Clients ($2,000/mo)</t>
  </si>
  <si>
    <t xml:space="preserve">Deferred payment plans available</t>
  </si>
  <si>
    <t xml:space="preserve">    Accelerator Annual Revenue</t>
  </si>
  <si>
    <t xml:space="preserve">    Deferred Coaching Payouts</t>
  </si>
  <si>
    <t xml:space="preserve">$10K March 2026 payout from deferred client payments</t>
  </si>
  <si>
    <t xml:space="preserve">Events &amp; Sales Revenue</t>
  </si>
  <si>
    <t xml:space="preserve">2025 actual from P&amp;L ($3,250 reclassified to B2B); 2026+ sum of events below</t>
  </si>
  <si>
    <t xml:space="preserve">    FxF NYC (Feb)</t>
  </si>
  <si>
    <t xml:space="preserve">Vendor fees + brand rev (gross)</t>
  </si>
  <si>
    <t xml:space="preserve">    NY Tech Week (June)</t>
  </si>
  <si>
    <t xml:space="preserve">Smaller activation; thin margins, growing YoY</t>
  </si>
  <si>
    <t xml:space="preserve">    FxF LA (June)</t>
  </si>
  <si>
    <t xml:space="preserve">    FxF NYC (Sept)</t>
  </si>
  <si>
    <t xml:space="preserve">    FxF LA (Nov)</t>
  </si>
  <si>
    <t xml:space="preserve">    Other In-Person (3 TBD)</t>
  </si>
  <si>
    <t xml:space="preserve">~$7K avg per event</t>
  </si>
  <si>
    <t xml:space="preserve">    Virtual Events</t>
  </si>
  <si>
    <t xml:space="preserve">Workshops, webinars, panels</t>
  </si>
  <si>
    <t xml:space="preserve">B2B / Sponsorship Revenue</t>
  </si>
  <si>
    <t xml:space="preserve">Sum of sponsorship tiers; see 2026 Monthly P&amp;L for actuals</t>
  </si>
  <si>
    <t xml:space="preserve">    Event Partners ($10K-$25K)</t>
  </si>
  <si>
    <t xml:space="preserve">Brand awareness, speaking opps, attendee access</t>
  </si>
  <si>
    <t xml:space="preserve">    Media Partners ($2K-$5K)</t>
  </si>
  <si>
    <t xml:space="preserve">Newsletter placements, content collabs, touchpoints</t>
  </si>
  <si>
    <t xml:space="preserve">    Platform Partners ($10K-$50K)</t>
  </si>
  <si>
    <t xml:space="preserve">Dealflow access, priority founder intros</t>
  </si>
  <si>
    <t xml:space="preserve">    Ecosystem Partners ($75K+)</t>
  </si>
  <si>
    <t xml:space="preserve">Multi-channel, co-created programming</t>
  </si>
  <si>
    <t xml:space="preserve">    Partner Deployments</t>
  </si>
  <si>
    <t xml:space="preserve">Partner deployments ($15K) + sponsorships ($3,250) reclassified from Events/Grants</t>
  </si>
  <si>
    <t xml:space="preserve">Grant Revenue</t>
  </si>
  <si>
    <t xml:space="preserve">BGV Emerging Leaders Fellowship + W.E. Build in Tulsa Cohort (2025); reduced $17.5K; declining as recurring revenue grows</t>
  </si>
  <si>
    <t xml:space="preserve">Services &amp; Consulting</t>
  </si>
  <si>
    <t xml:space="preserve">2025 only (IBC parent co); phased out</t>
  </si>
  <si>
    <t xml:space="preserve">COST ASSUMPTIONS</t>
  </si>
  <si>
    <t xml:space="preserve">COGS % of Revenue</t>
  </si>
  <si>
    <t xml:space="preserve">Source: P&amp;L 2025 (9.3% actual)</t>
  </si>
  <si>
    <t xml:space="preserve">OPERATING EXPENSE DETAIL</t>
  </si>
  <si>
    <t xml:space="preserve">Personnel</t>
  </si>
  <si>
    <t xml:space="preserve">Payroll + contract labor</t>
  </si>
  <si>
    <t xml:space="preserve">    Founder / CEO (Ila)</t>
  </si>
  <si>
    <t xml:space="preserve">Current; salary begins 2026</t>
  </si>
  <si>
    <t xml:space="preserve">    Engineering Lead</t>
  </si>
  <si>
    <t xml:space="preserve">Hire Q2 2026; platform build</t>
  </si>
  <si>
    <t xml:space="preserve">    Sales / BD Lead</t>
  </si>
  <si>
    <t xml:space="preserve">Hire Q3 2026; partnerships + coaching sales</t>
  </si>
  <si>
    <t xml:space="preserve">    Marketing Manager</t>
  </si>
  <si>
    <t xml:space="preserve">Hire 2027; content, social, campaigns</t>
  </si>
  <si>
    <t xml:space="preserve">    Operations / Support</t>
  </si>
  <si>
    <t xml:space="preserve">Hire 2028; admin, customer success</t>
  </si>
  <si>
    <t xml:space="preserve">    Contract Labor</t>
  </si>
  <si>
    <t xml:space="preserve">Design, dev, content contractors</t>
  </si>
  <si>
    <t xml:space="preserve">Technology &amp; Platform</t>
  </si>
  <si>
    <t xml:space="preserve">Software, hosting, infrastructure</t>
  </si>
  <si>
    <t xml:space="preserve">    Software &amp; Apps</t>
  </si>
  <si>
    <t xml:space="preserve">Platform tools, APIs, subscriptions</t>
  </si>
  <si>
    <t xml:space="preserve">    Platform Infrastructure</t>
  </si>
  <si>
    <t xml:space="preserve">Hosting, CDN, AI compute, DevOps</t>
  </si>
  <si>
    <t xml:space="preserve">Marketing &amp; Growth</t>
  </si>
  <si>
    <t xml:space="preserve">Sum of marketing channels below</t>
  </si>
  <si>
    <t xml:space="preserve">    Conferences &amp; Speaking</t>
  </si>
  <si>
    <t xml:space="preserve">Event booths, sponsorships, speaker travel</t>
  </si>
  <si>
    <t xml:space="preserve">    Social Media &amp; Content</t>
  </si>
  <si>
    <t xml:space="preserve">Content creation, social mgmt, video</t>
  </si>
  <si>
    <t xml:space="preserve">    Paid Ads (Digital)</t>
  </si>
  <si>
    <t xml:space="preserve">Meta, Google, LinkedIn campaigns</t>
  </si>
  <si>
    <t xml:space="preserve">    PR &amp; Brand Campaigns</t>
  </si>
  <si>
    <t xml:space="preserve">Press, influencer partnerships, brand</t>
  </si>
  <si>
    <t xml:space="preserve">    Community Grants</t>
  </si>
  <si>
    <t xml:space="preserve">Micro-grants to founders in community</t>
  </si>
  <si>
    <t xml:space="preserve">Events &amp; Community</t>
  </si>
  <si>
    <t xml:space="preserve">Event production + community programs</t>
  </si>
  <si>
    <t xml:space="preserve">    Event Production</t>
  </si>
  <si>
    <t xml:space="preserve">Venue, production, brand pass-through</t>
  </si>
  <si>
    <t xml:space="preserve">    Community Programs</t>
  </si>
  <si>
    <t xml:space="preserve">Member programs, retreats, networking</t>
  </si>
  <si>
    <t xml:space="preserve">Compliance &amp; Legal</t>
  </si>
  <si>
    <t xml:space="preserve">Reg CF/D advisory, legal, accounting</t>
  </si>
  <si>
    <t xml:space="preserve">Operations &amp; Admin</t>
  </si>
  <si>
    <t xml:space="preserve">Travel, benefits, insurance, general overhead</t>
  </si>
  <si>
    <t xml:space="preserve">Total Operating Expenses</t>
  </si>
  <si>
    <t xml:space="preserve">FUNDRAISE &amp; CASH FLOW</t>
  </si>
  <si>
    <t xml:space="preserve">Pre-Seed Investment</t>
  </si>
  <si>
    <t xml:space="preserve">SAFE + RBF + CDFI — driven by Dashboard</t>
  </si>
  <si>
    <t xml:space="preserve">Starting Cash Balance</t>
  </si>
  <si>
    <t xml:space="preserve">Prior year ending cash</t>
  </si>
  <si>
    <t xml:space="preserve">GROWTH &amp; KPI TARGETS</t>
  </si>
  <si>
    <t xml:space="preserve">Total SaaS Subscribers (EOY)</t>
  </si>
  <si>
    <t xml:space="preserve">Sum of all 4 SaaS tiers</t>
  </si>
  <si>
    <t xml:space="preserve">Total Coaching Clients (EOY)</t>
  </si>
  <si>
    <t xml:space="preserve">Email → Paid Conversion Rate</t>
  </si>
  <si>
    <t xml:space="preserve">CAC (Blended)</t>
  </si>
  <si>
    <t xml:space="preserve">Marketing Spend / New Customers (SaaS + Coaching)</t>
  </si>
  <si>
    <t xml:space="preserve">Monthly Churn Rate</t>
  </si>
  <si>
    <t xml:space="preserve">Assumption (blue input); improves as community retention strengthens</t>
  </si>
  <si>
    <t xml:space="preserve">LTV (Blended)</t>
  </si>
  <si>
    <t xml:space="preserve">Blended ARPU (SaaS + Coaching) / Monthly Churn</t>
  </si>
  <si>
    <t xml:space="preserve">LTV:CAC Ratio</t>
  </si>
  <si>
    <t xml:space="preserve">LTV / CAC; investors look for 3x+</t>
  </si>
  <si>
    <t xml:space="preserve">    ARPU (Monthly, Blended)</t>
  </si>
  <si>
    <t xml:space="preserve">(SaaS Rev + Coaching Rev) / Total Customers / 12</t>
  </si>
  <si>
    <t xml:space="preserve">    New Customers Acquired</t>
  </si>
  <si>
    <t xml:space="preserve">Net new SaaS + Coaching customers YoY</t>
  </si>
  <si>
    <t xml:space="preserve">NOTE: 2026 blended CAC is $286 because marketing spend ($110K) includes brand-building, PR, conferences, and community grants alongside direct acquisition. We report the full blended number conservatively — attributing all marketing spend to customer acquisition rather than splitting out brand awareness. As organic channels compound (10K→120K email subscribers, community referrals, press coverage), CAC drops to $102 by 2028. LTV:CAC improves from 3.1x to 11.6x, well above the 3x benchmark.</t>
  </si>
  <si>
    <t xml:space="preserve">SENGO RAISE PROGRESSION</t>
  </si>
  <si>
    <t xml:space="preserve">Map investments received against planned deployments — blue cells are editable</t>
  </si>
  <si>
    <t xml:space="preserve">Apr '26</t>
  </si>
  <si>
    <t xml:space="preserve">May '26</t>
  </si>
  <si>
    <t xml:space="preserve">Jun '26</t>
  </si>
  <si>
    <t xml:space="preserve">Jul '26</t>
  </si>
  <si>
    <t xml:space="preserve">Aug '26</t>
  </si>
  <si>
    <t xml:space="preserve">Sep '26</t>
  </si>
  <si>
    <t xml:space="preserve">Oct '26</t>
  </si>
  <si>
    <t xml:space="preserve">Nov '26</t>
  </si>
  <si>
    <t xml:space="preserve">Dec '26</t>
  </si>
  <si>
    <t xml:space="preserve">Jan '27</t>
  </si>
  <si>
    <t xml:space="preserve">Feb '27</t>
  </si>
  <si>
    <t xml:space="preserve">Mar '27</t>
  </si>
  <si>
    <t xml:space="preserve">TOTAL</t>
  </si>
  <si>
    <t xml:space="preserve">CAPITAL INFLOWS</t>
  </si>
  <si>
    <t xml:space="preserve">SAFE Checks Received</t>
  </si>
  <si>
    <t xml:space="preserve">Enter each SAFE check as it closes</t>
  </si>
  <si>
    <t xml:space="preserve">RBF Funding Received</t>
  </si>
  <si>
    <t xml:space="preserve">Revenue-based financing disbursement(s)</t>
  </si>
  <si>
    <t xml:space="preserve">CDFI Loan Disbursement</t>
  </si>
  <si>
    <t xml:space="preserve">CDFI loan disbursement(s)</t>
  </si>
  <si>
    <t xml:space="preserve">Operating Revenue (from model)</t>
  </si>
  <si>
    <t xml:space="preserve">Monthly rev from 2026 Monthly P&amp;L</t>
  </si>
  <si>
    <t xml:space="preserve">Total New Capital This Month</t>
  </si>
  <si>
    <t xml:space="preserve">Cumulative Capital Available</t>
  </si>
  <si>
    <t xml:space="preserve">Raise Target (from Dashboard)</t>
  </si>
  <si>
    <t xml:space="preserve">SAFE + RBF + CDFI total target</t>
  </si>
  <si>
    <t xml:space="preserve">% of Raise Closed</t>
  </si>
  <si>
    <t xml:space="preserve">PLANNED DEPLOYMENTS</t>
  </si>
  <si>
    <t xml:space="preserve">Founder salary, eng lead, sales hire</t>
  </si>
  <si>
    <t xml:space="preserve">    Founder / CEO Salary</t>
  </si>
  <si>
    <t xml:space="preserve">Starts when raise closes</t>
  </si>
  <si>
    <t xml:space="preserve">Hire when ~$150K raised</t>
  </si>
  <si>
    <t xml:space="preserve">Hire when ~$250K raised</t>
  </si>
  <si>
    <t xml:space="preserve">Ongoing design/dev contractors</t>
  </si>
  <si>
    <t xml:space="preserve">Platform rebuild + infrastructure</t>
  </si>
  <si>
    <t xml:space="preserve">    Platform Rebuild (v2)</t>
  </si>
  <si>
    <t xml:space="preserve">Major investment in Q2-Q3</t>
  </si>
  <si>
    <t xml:space="preserve">    Software &amp; Subscriptions</t>
  </si>
  <si>
    <t xml:space="preserve">AI tools, APIs, hosting</t>
  </si>
  <si>
    <t xml:space="preserve">Brand launch + paid campaigns</t>
  </si>
  <si>
    <t xml:space="preserve">    Brand Campaign Launch</t>
  </si>
  <si>
    <t xml:space="preserve">Major push when platform ships</t>
  </si>
  <si>
    <t xml:space="preserve">    Paid Digital Ads</t>
  </si>
  <si>
    <t xml:space="preserve">Ramp up through year</t>
  </si>
  <si>
    <t xml:space="preserve">NY Tech Week, FxF events</t>
  </si>
  <si>
    <t xml:space="preserve">Event production + programs</t>
  </si>
  <si>
    <t xml:space="preserve">Reg advisory, legal, accounting</t>
  </si>
  <si>
    <t xml:space="preserve">Travel, insurance, overhead</t>
  </si>
  <si>
    <t xml:space="preserve">Total Planned Deployments</t>
  </si>
  <si>
    <t xml:space="preserve">CASH POSITION</t>
  </si>
  <si>
    <t xml:space="preserve">Starting Cash</t>
  </si>
  <si>
    <t xml:space="preserve">Cash on hand before raise begins</t>
  </si>
  <si>
    <t xml:space="preserve">+ New Capital In</t>
  </si>
  <si>
    <t xml:space="preserve">- Planned Deployments</t>
  </si>
  <si>
    <t xml:space="preserve">Ending Cash Balance</t>
  </si>
  <si>
    <t xml:space="preserve">Months of Runway</t>
  </si>
  <si>
    <t xml:space="preserve">Ending cash ÷ next month's planned spend</t>
  </si>
  <si>
    <t xml:space="preserve">DEPLOYMENT MILESTONES</t>
  </si>
  <si>
    <t xml:space="preserve">When This Closes...</t>
  </si>
  <si>
    <t xml:space="preserve">...You Can Deploy</t>
  </si>
  <si>
    <t xml:space="preserve">$50K raised</t>
  </si>
  <si>
    <t xml:space="preserve">$50K</t>
  </si>
  <si>
    <t xml:space="preserve">Start founder salary ($5K/mo), contract labor, basic software</t>
  </si>
  <si>
    <t xml:space="preserve">$100K raised</t>
  </si>
  <si>
    <t xml:space="preserve">$100K</t>
  </si>
  <si>
    <t xml:space="preserve">Add platform infrastructure spend, begin brand campaign planning</t>
  </si>
  <si>
    <t xml:space="preserve">$150K raised</t>
  </si>
  <si>
    <t xml:space="preserve">$150K</t>
  </si>
  <si>
    <t xml:space="preserve">Hire engineering lead, begin platform v2 rebuild</t>
  </si>
  <si>
    <t xml:space="preserve">$200K raised</t>
  </si>
  <si>
    <t xml:space="preserve">$200K</t>
  </si>
  <si>
    <t xml:space="preserve">Launch paid digital ads, ramp conference/speaking budget</t>
  </si>
  <si>
    <t xml:space="preserve">$250K raised</t>
  </si>
  <si>
    <t xml:space="preserve">$250K</t>
  </si>
  <si>
    <t xml:space="preserve">Hire sales/BD lead, expand event production budget</t>
  </si>
  <si>
    <t xml:space="preserve">$350K raised</t>
  </si>
  <si>
    <t xml:space="preserve">$350K</t>
  </si>
  <si>
    <t xml:space="preserve">Full marketing ramp, community grants, compliance/legal</t>
  </si>
  <si>
    <t xml:space="preserve">$500K raised (full)</t>
  </si>
  <si>
    <t xml:space="preserve">$500K</t>
  </si>
  <si>
    <t xml:space="preserve">All systems go — full team, full marketing, full events calendar</t>
  </si>
  <si>
    <t xml:space="preserve">RAISE vs TARGET</t>
  </si>
  <si>
    <t xml:space="preserve">SAFE Target</t>
  </si>
  <si>
    <t xml:space="preserve">SAFE Raised to Date</t>
  </si>
  <si>
    <t xml:space="preserve">Remaining</t>
  </si>
  <si>
    <t xml:space="preserve">RBF Target</t>
  </si>
  <si>
    <t xml:space="preserve">RBF Raised to Date</t>
  </si>
  <si>
    <t xml:space="preserve">CDFI Target</t>
  </si>
  <si>
    <t xml:space="preserve">CDFI Raised to Date</t>
  </si>
  <si>
    <t xml:space="preserve">Total Raised</t>
  </si>
  <si>
    <t xml:space="preserve">HISTORICAL PROFIT &amp; LOSS</t>
  </si>
  <si>
    <t xml:space="preserve">IBC Real Estate and Advising INC (dba Sengo)</t>
  </si>
  <si>
    <t xml:space="preserve">2024 (Actual)</t>
  </si>
  <si>
    <t xml:space="preserve">YoY Growth</t>
  </si>
  <si>
    <t xml:space="preserve">Source</t>
  </si>
  <si>
    <t xml:space="preserve">REVENUE</t>
  </si>
  <si>
    <t xml:space="preserve">Events Income</t>
  </si>
  <si>
    <t xml:space="preserve">Source: P&amp;L ($3,250 reclassified to B2B/Sponsorships)</t>
  </si>
  <si>
    <t xml:space="preserve">Sales &amp; Client Reimbursements</t>
  </si>
  <si>
    <t xml:space="preserve">Source: P&amp;L</t>
  </si>
  <si>
    <t xml:space="preserve">SaaS Subscriptions</t>
  </si>
  <si>
    <t xml:space="preserve">Coaching</t>
  </si>
  <si>
    <t xml:space="preserve">B2B / Sponsorships</t>
  </si>
  <si>
    <t xml:space="preserve">Source: P&amp;L (partner deployments + sponsorships reclassified)</t>
  </si>
  <si>
    <t xml:space="preserve">Grants</t>
  </si>
  <si>
    <t xml:space="preserve">Source: P&amp;L (BGV Fellowship, W.E. Build; reduced $17.5K)</t>
  </si>
  <si>
    <t xml:space="preserve">Source: P&amp;L (Square, BGV Fellowship, W.E. Build)</t>
  </si>
  <si>
    <t xml:space="preserve">COST OF GOODS SOLD</t>
  </si>
  <si>
    <t xml:space="preserve">COGS</t>
  </si>
  <si>
    <t xml:space="preserve">PROFITABILITY</t>
  </si>
  <si>
    <t xml:space="preserve">OpEx % of Revenue</t>
  </si>
  <si>
    <t xml:space="preserve">Net Operating Income</t>
  </si>
  <si>
    <t xml:space="preserve">Other Expenses</t>
  </si>
  <si>
    <t xml:space="preserve">BOTTOM LINE</t>
  </si>
  <si>
    <t xml:space="preserve">Net Margin</t>
  </si>
  <si>
    <t xml:space="preserve">2026 MONTHLY P&amp;L</t>
  </si>
  <si>
    <t xml:space="preserve">Actuals (blue) vs Budget (yellow) — updated March 2026</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</si>
  <si>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</si>
  <si>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</si>
  <si>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</si>
  <si>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</si>
  <si>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</si>
  <si>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</si>
  <si>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</si>
  <si>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</si>
  <si>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</si>
  <si>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</si>
  <si>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</si>
  <si>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</si>
  <si>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YTD Actual</t>
  </si>
  <si>
    <t xml:space="preserve">2026 Budget</t>
  </si>
  <si>
    <t xml:space="preserve">Coaching Programs</t>
  </si>
  <si>
    <t xml:space="preserve">Events &amp; Sales</t>
  </si>
  <si>
    <t xml:space="preserve">COGS (~10%)</t>
  </si>
  <si>
    <t xml:space="preserve">OPERATING EXPENSES</t>
  </si>
  <si>
    <t xml:space="preserve">CASH FLOW</t>
  </si>
  <si>
    <t xml:space="preserve">Monthly Cash Flow</t>
  </si>
  <si>
    <t xml:space="preserve">Cumulative Cash Position</t>
  </si>
  <si>
    <t xml:space="preserve">NOTES</t>
  </si>
  <si>
    <t xml:space="preserve">Blue = actuals (QB P&amp;L totals). Yellow = budget months are formula-driven from Assumptions sheet.</t>
  </si>
  <si>
    <t xml:space="preserve">Jan/Feb Total Revenue &amp; Total OpEx match QuickBooks P&amp;L exactly.</t>
  </si>
  <si>
    <t xml:space="preserve">Mar coaching includes $10K deferred payout. Apr B2B includes $5,540 confirmed partnership.</t>
  </si>
  <si>
    <t xml:space="preserve">FxF NYC vendor payments collected Dec/Jan; shown in Events when received per QB.</t>
  </si>
  <si>
    <t xml:space="preserve">Personnel ramps post-raise: Eng Lead (Q2), Sales/BD Lead (Q3).</t>
  </si>
  <si>
    <t xml:space="preserve">ACTUALS vs. PROJECTIONS</t>
  </si>
  <si>
    <t xml:space="preserve">Jan actual revenue of $9,844 exceeded monthly run-rate target ($27.4K/12 ann. avg is misleading</t>
  </si>
  <si>
    <t xml:space="preserve">  — given back-loaded revenue ramp). Jan is a strong baseline month: 5 active revenue streams.</t>
  </si>
  <si>
    <t xml:space="preserve">Jan OpEx of $4,599 (pre-hire) yielded ~$4,261 net operating income — rare for a pre-seed company.</t>
  </si>
  <si>
    <t xml:space="preserve">Feb revenue of $9,300 showed consistency with Jan, maintaining $1,886 MRR base.</t>
  </si>
  <si>
    <t xml:space="preserve">Feb OpEx of $8,495 included FxF NYC event costs — net income near breakeven (~-$125).</t>
  </si>
  <si>
    <t xml:space="preserve">Q1 YTD (Jan+Feb): $19,144 revenue, $13,094 OpEx. Two profitable months in first full operating quarter.</t>
  </si>
  <si>
    <t xml:space="preserve">Key takeaway: Revenue is real, recurring, and diversified. OpEx is disciplined. Pre-raise burn is minimal.</t>
  </si>
  <si>
    <t xml:space="preserve">3-YEAR PROJECTED P&amp;L</t>
  </si>
  <si>
    <t xml:space="preserve">All projections driven by Assumptions sheet</t>
  </si>
  <si>
    <t xml:space="preserve">    Legacy ($7/mo)</t>
  </si>
  <si>
    <t xml:space="preserve">    Investor ($10/mo)</t>
  </si>
  <si>
    <t xml:space="preserve">    Founder ($15/mo)</t>
  </si>
  <si>
    <t xml:space="preserve">    All Access ($25/mo)</t>
  </si>
  <si>
    <t xml:space="preserve">    Legacy ($500/mo)</t>
  </si>
  <si>
    <t xml:space="preserve">    Foundation ($1,000/mo)</t>
  </si>
  <si>
    <t xml:space="preserve">    Accelerator ($2,000/mo)</t>
  </si>
  <si>
    <t xml:space="preserve">Operating Expenses</t>
  </si>
  <si>
    <t xml:space="preserve">DEBT SERVICE</t>
  </si>
  <si>
    <t xml:space="preserve">RBF Revenue Share Payment</t>
  </si>
  <si>
    <t xml:space="preserve">Revenue x share %, capped at max repayment</t>
  </si>
  <si>
    <t xml:space="preserve">CDFI Loan Payment</t>
  </si>
  <si>
    <t xml:space="preserve">Fixed annual PMT from CDFI loan</t>
  </si>
  <si>
    <t xml:space="preserve">Total Debt Service</t>
  </si>
  <si>
    <t xml:space="preserve">Cash Position (EOY)</t>
  </si>
  <si>
    <t xml:space="preserve">KEY METRICS</t>
  </si>
  <si>
    <t xml:space="preserve">Total SaaS Subscribers</t>
  </si>
  <si>
    <t xml:space="preserve">Total Coaching Clients</t>
  </si>
  <si>
    <t xml:space="preserve">Revenue per Employee (est.)</t>
  </si>
  <si>
    <t xml:space="preserve">BOOTSTRAPPED SCENARIO</t>
  </si>
  <si>
    <t xml:space="preserve">No external funding — organic growth, stay profitable</t>
  </si>
  <si>
    <t xml:space="preserve">Compare to Funded Projections tab</t>
  </si>
  <si>
    <t xml:space="preserve">Notes</t>
  </si>
  <si>
    <t xml:space="preserve">REVENUE (Organic Growth)</t>
  </si>
  <si>
    <t xml:space="preserve">Organic growth only; no paid acq budget</t>
  </si>
  <si>
    <t xml:space="preserve">Word of mouth; slower pipeline</t>
  </si>
  <si>
    <t xml:space="preserve">Fewer events; no cohost splits needed</t>
  </si>
  <si>
    <t xml:space="preserve">Organic BD; fewer partner tiers</t>
  </si>
  <si>
    <t xml:space="preserve">Continued grant pursuit</t>
  </si>
  <si>
    <t xml:space="preserve">Wind down slowly to fund transition</t>
  </si>
  <si>
    <t xml:space="preserve">EXPENSES (Lean Operations)</t>
  </si>
  <si>
    <t xml:space="preserve">COGS (9-10%)</t>
  </si>
  <si>
    <t xml:space="preserve">Founder Salary (Ila)</t>
  </si>
  <si>
    <t xml:space="preserve">Modest salary; grows with revenue</t>
  </si>
  <si>
    <t xml:space="preserve">Part-Time Contractor</t>
  </si>
  <si>
    <t xml:space="preserve">Dev/design help as needed</t>
  </si>
  <si>
    <t xml:space="preserve">Event Production &amp; Pass-Through</t>
  </si>
  <si>
    <t xml:space="preserve">Fewer events, same cost structure</t>
  </si>
  <si>
    <t xml:space="preserve">General Business</t>
  </si>
  <si>
    <t xml:space="preserve">Lean overhead</t>
  </si>
  <si>
    <t xml:space="preserve">Software &amp; Apps</t>
  </si>
  <si>
    <t xml:space="preserve">Essential tools only</t>
  </si>
  <si>
    <t xml:space="preserve">Marketing (Organic Focus)</t>
  </si>
  <si>
    <t xml:space="preserve">Social, content, community — no paid ads</t>
  </si>
  <si>
    <t xml:space="preserve">Legal &amp; Accounting</t>
  </si>
  <si>
    <t xml:space="preserve">Basic compliance</t>
  </si>
  <si>
    <t xml:space="preserve">Travel &amp; Meals</t>
  </si>
  <si>
    <t xml:space="preserve">Essential event travel only</t>
  </si>
  <si>
    <t xml:space="preserve">Benefits &amp; Insurance</t>
  </si>
  <si>
    <t xml:space="preserve">Personal coverage</t>
  </si>
  <si>
    <t xml:space="preserve">Grant Expenses</t>
  </si>
  <si>
    <t xml:space="preserve">Micro-grants program</t>
  </si>
  <si>
    <t xml:space="preserve">Other</t>
  </si>
  <si>
    <t xml:space="preserve">Miscellaneous</t>
  </si>
  <si>
    <t xml:space="preserve">COMPARISON: BOOTSTRAPPED vs FUNDED</t>
  </si>
  <si>
    <t xml:space="preserve">Funded Total Revenue</t>
  </si>
  <si>
    <t xml:space="preserve">Bootstrapped Total Revenue</t>
  </si>
  <si>
    <t xml:space="preserve">Revenue Difference</t>
  </si>
  <si>
    <t xml:space="preserve">Funded Operating Income</t>
  </si>
  <si>
    <t xml:space="preserve">Bootstrapped Operating Income</t>
  </si>
  <si>
    <t xml:space="preserve">Funded Cash (EOY)</t>
  </si>
  <si>
    <t xml:space="preserve">Bootstrapped Cash (EOY)</t>
  </si>
  <si>
    <t xml:space="preserve">KEY TAKEAWAY</t>
  </si>
  <si>
    <t xml:space="preserve">Bootstrapped = always profitable but slower growth. Funded = faster path to $1.8M but requires $500K raise and accepting a 2026 operating loss.</t>
  </si>
  <si>
    <t xml:space="preserve">VALUATION &amp; EXIT ANALYSIS</t>
  </si>
  <si>
    <t xml:space="preserve">Scenario modeling for SAFE, RBF, and CDFI fund structures</t>
  </si>
  <si>
    <t xml:space="preserve">2025–2028 from Projections tab; 2029–2031 extrapolated at editable growth rate</t>
  </si>
  <si>
    <t xml:space="preserve">2029</t>
  </si>
  <si>
    <t xml:space="preserve">2030</t>
  </si>
  <si>
    <t xml:space="preserve">2031</t>
  </si>
  <si>
    <t xml:space="preserve">REVENUE-BASED VALUATION</t>
  </si>
  <si>
    <t xml:space="preserve">2029-2031 extrapolated at growth rate below</t>
  </si>
  <si>
    <t xml:space="preserve">2029-2031 assume 2028 net margin holds</t>
  </si>
  <si>
    <t xml:space="preserve">Revenue Growth Rate</t>
  </si>
  <si>
    <t xml:space="preserve">Post-2028 Growth Rate (editable)</t>
  </si>
  <si>
    <t xml:space="preserve">Change this to adjust 2029-2031 projections</t>
  </si>
  <si>
    <t xml:space="preserve">IMPLIED VALUATION (Revenue Multiple)</t>
  </si>
  <si>
    <t xml:space="preserve">Conservative (5x Revenue)</t>
  </si>
  <si>
    <t xml:space="preserve">Revenue x 5</t>
  </si>
  <si>
    <t xml:space="preserve">Moderate (8x Revenue)</t>
  </si>
  <si>
    <t xml:space="preserve">Revenue x 8</t>
  </si>
  <si>
    <t xml:space="preserve">Aggressive (12x Revenue)</t>
  </si>
  <si>
    <t xml:space="preserve">Revenue x 12</t>
  </si>
  <si>
    <t xml:space="preserve">High-Growth (15x Revenue)</t>
  </si>
  <si>
    <t xml:space="preserve">Revenue x 15</t>
  </si>
  <si>
    <t xml:space="preserve">IMPLIED VALUATION (Net Income Multiple)</t>
  </si>
  <si>
    <t xml:space="preserve">Conservative (10x Net Income)</t>
  </si>
  <si>
    <t xml:space="preserve">Net income x 10 (if profitable)</t>
  </si>
  <si>
    <t xml:space="preserve">Moderate (15x Net Income)</t>
  </si>
  <si>
    <t xml:space="preserve">Net income x 15 (if profitable)</t>
  </si>
  <si>
    <t xml:space="preserve">Aggressive (25x Net Income)</t>
  </si>
  <si>
    <t xml:space="preserve">Net income x 25 (if profitable)</t>
  </si>
  <si>
    <t xml:space="preserve">SAFE INVESTOR SCENARIOS</t>
  </si>
  <si>
    <t xml:space="preserve">Driven by Dashboard fundraise inputs</t>
  </si>
  <si>
    <t xml:space="preserve">Scenario A: $3M Valuation Cap</t>
  </si>
  <si>
    <t xml:space="preserve">Fixed $3M cap (conservative)</t>
  </si>
  <si>
    <t xml:space="preserve">    Equity Ownership %</t>
  </si>
  <si>
    <t xml:space="preserve">Investment / cap</t>
  </si>
  <si>
    <t xml:space="preserve">    Payout at Moderate Exit (8x)</t>
  </si>
  <si>
    <t xml:space="preserve">Equity % x 8x revenue valuation</t>
  </si>
  <si>
    <t xml:space="preserve">    Payout at Aggressive Exit (12x)</t>
  </si>
  <si>
    <t xml:space="preserve">Equity % x 12x revenue valuation</t>
  </si>
  <si>
    <t xml:space="preserve">    Investor ROI (Moderate Exit)</t>
  </si>
  <si>
    <t xml:space="preserve">Payout / investment</t>
  </si>
  <si>
    <t xml:space="preserve">Scenario B: Target Valuation Cap</t>
  </si>
  <si>
    <t xml:space="preserve">Driven by Dashboard cap input</t>
  </si>
  <si>
    <t xml:space="preserve">Scenario C: $8M Valuation Cap</t>
  </si>
  <si>
    <t xml:space="preserve">Fixed $8M cap (aggressive)</t>
  </si>
  <si>
    <t xml:space="preserve">REVENUE-BASED FINANCING (RBF)</t>
  </si>
  <si>
    <t xml:space="preserve">Revenue Share %</t>
  </si>
  <si>
    <t xml:space="preserve">Driven by Dashboard</t>
  </si>
  <si>
    <t xml:space="preserve">Repayment Cap (multiple)</t>
  </si>
  <si>
    <t xml:space="preserve">Max Repayment Amount</t>
  </si>
  <si>
    <t xml:space="preserve">Investment x cap multiple</t>
  </si>
  <si>
    <t xml:space="preserve">Annual Revenue Share Payment</t>
  </si>
  <si>
    <t xml:space="preserve">Revenue x share %</t>
  </si>
  <si>
    <t xml:space="preserve">Cumulative Payments</t>
  </si>
  <si>
    <t xml:space="preserve">Capped at max repayment</t>
  </si>
  <si>
    <t xml:space="preserve">Remaining Balance</t>
  </si>
  <si>
    <t xml:space="preserve">Max repayment minus cumulative</t>
  </si>
  <si>
    <t xml:space="preserve">Fully Repaid?</t>
  </si>
  <si>
    <t xml:space="preserve">CDFI LOAN SCENARIO</t>
  </si>
  <si>
    <t xml:space="preserve">Annual Interest Rate</t>
  </si>
  <si>
    <t xml:space="preserve">Loan Term (years)</t>
  </si>
  <si>
    <t xml:space="preserve">Annual Payment (PMT)</t>
  </si>
  <si>
    <t xml:space="preserve">Fixed annual payment</t>
  </si>
  <si>
    <t xml:space="preserve">Annual Payment Due</t>
  </si>
  <si>
    <t xml:space="preserve">5-year term: payments 2026-2030</t>
  </si>
  <si>
    <t xml:space="preserve">Total Interest Paid (over term)</t>
  </si>
  <si>
    <t xml:space="preserve">Total payments minus principal</t>
  </si>
  <si>
    <t xml:space="preserve">COMBINED FUND STRUCTURE SUMMARY</t>
  </si>
  <si>
    <t xml:space="preserve">Total Pre-Seed Raise</t>
  </si>
  <si>
    <t xml:space="preserve">From Dashboard fundraise scenario</t>
  </si>
  <si>
    <t xml:space="preserve">  SAFE Portion</t>
  </si>
  <si>
    <t xml:space="preserve">  RBF Portion</t>
  </si>
  <si>
    <t xml:space="preserve">  CDFI Portion</t>
  </si>
  <si>
    <t xml:space="preserve">Total Annual Debt Service (RBF+CDFI)</t>
  </si>
  <si>
    <t xml:space="preserve">Cash outflow for debt repayment</t>
  </si>
  <si>
    <t xml:space="preserve">Debt Service as % of Revenue</t>
  </si>
  <si>
    <t xml:space="preserve">SAFE Equity Dilution (target cap)</t>
  </si>
  <si>
    <t xml:space="preserve">M&amp;A LANDSCAPE &amp; STRATEGIC ACQUIRER ANALYSIS</t>
  </si>
  <si>
    <t xml:space="preserve">Cap table mapping of comparable companies, recent M&amp;A transactions, and strategic acquirer candidates for Sengo.</t>
  </si>
  <si>
    <t xml:space="preserve">COMPARABLE COMPANY CAP TABLES</t>
  </si>
  <si>
    <t xml:space="preserve">Company</t>
  </si>
  <si>
    <t xml:space="preserve">Valuation</t>
  </si>
  <si>
    <t xml:space="preserve">Lead / Key Investors</t>
  </si>
  <si>
    <t xml:space="preserve">Strategic Investors</t>
  </si>
  <si>
    <t xml:space="preserve">Status</t>
  </si>
  <si>
    <t xml:space="preserve">Acquisition Signal</t>
  </si>
  <si>
    <t xml:space="preserve">Hello Alice</t>
  </si>
  <si>
    <t xml:space="preserve">$130M</t>
  </si>
  <si>
    <t xml:space="preserve">$43.4M</t>
  </si>
  <si>
    <t xml:space="preserve">QED Investors, Serena Ventures, Backstage Capital, Golden Seeds, Harbert Growth</t>
  </si>
  <si>
    <t xml:space="preserve">Mastercard (co-developed Hello Alice Small Business Mastercard, $500M racial wealth gap pledge)</t>
  </si>
  <si>
    <t xml:space="preserve">Active / Growth</t>
  </si>
  <si>
    <t xml:space="preserve">Mastercard is deeply embedded — co-developed product, strategic investor. Natural acquirer to own SMB education + community.</t>
  </si>
  <si>
    <t xml:space="preserve">KingsCrowd</t>
  </si>
  <si>
    <t xml:space="preserve">$13.9M</t>
  </si>
  <si>
    <t xml:space="preserve">$22.6M</t>
  </si>
  <si>
    <t xml:space="preserve">Belvedere Strategic Capital, Startup Warrior, Netcapital, Triangle Tweener Fund, Tribal Ventures</t>
  </si>
  <si>
    <t xml:space="preserve">StartEngine (invested in Angel IV round); acquired CrowdCheck (Apr 2025)</t>
  </si>
  <si>
    <t xml:space="preserve">Independent</t>
  </si>
  <si>
    <t xml:space="preserve">Data/analytics layer for crowdfunding — acquisition target for Bloomberg, Carta, or any platform needing intelligence.</t>
  </si>
  <si>
    <t xml:space="preserve">Cherub</t>
  </si>
  <si>
    <t xml:space="preserve">N/D</t>
  </si>
  <si>
    <t xml:space="preserve">~$2M</t>
  </si>
  <si>
    <t xml:space="preserve">Alli Webb (Dry Bar founder), Morgan DeBaun, angel investors</t>
  </si>
  <si>
    <t xml:space="preserve">None identified</t>
  </si>
  <si>
    <t xml:space="preserve">Pre-seed</t>
  </si>
  <si>
    <t xml:space="preserve">Angel matching with $950/yr subscription. ~$50K revenue vs Sengo's $212K. Acquisition target for AngelList or VC platforms.</t>
  </si>
  <si>
    <t xml:space="preserve">Republic</t>
  </si>
  <si>
    <t xml:space="preserve">$214M</t>
  </si>
  <si>
    <t xml:space="preserve">Valor Equity Partners, Galaxy Interactive, Tribe Capital, Motley Fool Ventures, Prosus Ventures</t>
  </si>
  <si>
    <t xml:space="preserve">Morgan Stanley (investor)</t>
  </si>
  <si>
    <t xml:space="preserve">Active (acquired INX for $60M)</t>
  </si>
  <si>
    <t xml:space="preserve">Republic IS the acquirer — bought INX for tokenized securities. Traditional brokerages (Schwab, Robinhood) are logical buyers of Republic.</t>
  </si>
  <si>
    <t xml:space="preserve">StartEngine</t>
  </si>
  <si>
    <t xml:space="preserve">$1.38B</t>
  </si>
  <si>
    <t xml:space="preserve">$106M</t>
  </si>
  <si>
    <t xml:space="preserve">SE Agoura Investment (Aubrey Chernick), 9,000+ individual shareholders (Reg A+)</t>
  </si>
  <si>
    <t xml:space="preserve">Kevin O'Leary (strategic advisor &amp; investor)</t>
  </si>
  <si>
    <t xml:space="preserve">Self-listed (Reg A+)</t>
  </si>
  <si>
    <t xml:space="preserve">Self-funded through own platform. No education layer — acquirer or partner for community/education bolt-on like Sengo.</t>
  </si>
  <si>
    <t xml:space="preserve">Carta</t>
  </si>
  <si>
    <t xml:space="preserve">$1.7B</t>
  </si>
  <si>
    <t xml:space="preserve">$1.16B</t>
  </si>
  <si>
    <t xml:space="preserve">Andreessen Horowitz, Spark Capital, Union Square Ventures, Lightspeed, Tiger Global, Thrive Capital</t>
  </si>
  <si>
    <t xml:space="preserve">Goldman Sachs Principal Strategic Investments</t>
  </si>
  <si>
    <t xml:space="preserve">Growth (acquired Vauban)</t>
  </si>
  <si>
    <t xml:space="preserve">Cap table infrastructure player. Goldman Sachs on cap table signals potential financial institution acquirer (GS, JPM, Blackstone).</t>
  </si>
  <si>
    <t xml:space="preserve">RECENT M&amp;A TRANSACTIONS (Precedent Deals)</t>
  </si>
  <si>
    <t xml:space="preserve">Transaction</t>
  </si>
  <si>
    <t xml:space="preserve">Acquirer</t>
  </si>
  <si>
    <t xml:space="preserve">Target</t>
  </si>
  <si>
    <t xml:space="preserve">Deal Value</t>
  </si>
  <si>
    <t xml:space="preserve">Date</t>
  </si>
  <si>
    <t xml:space="preserve">Revenue Multiple</t>
  </si>
  <si>
    <t xml:space="preserve">Strategic Rationale</t>
  </si>
  <si>
    <t xml:space="preserve">Republic → INX</t>
  </si>
  <si>
    <t xml:space="preserve">Republic (OpenDeal)</t>
  </si>
  <si>
    <t xml:space="preserve">INX Digital Company</t>
  </si>
  <si>
    <t xml:space="preserve">$60M</t>
  </si>
  <si>
    <t xml:space="preserve">Apr 2025</t>
  </si>
  <si>
    <t xml:space="preserve">N/A (crypto infra)</t>
  </si>
  <si>
    <t xml:space="preserve">Tokenized securities + regulated crypto trading. Republic owned 9.5% stake ($5.25M) before full acquisition.</t>
  </si>
  <si>
    <t xml:space="preserve">Carta → Vauban</t>
  </si>
  <si>
    <t xml:space="preserve">Vauban (London)</t>
  </si>
  <si>
    <t xml:space="preserve">$80M+</t>
  </si>
  <si>
    <t xml:space="preserve">Jun 2022</t>
  </si>
  <si>
    <t xml:space="preserve">N/A (fund admin)</t>
  </si>
  <si>
    <t xml:space="preserve">Cross-border fund formation for SPVs. 50%+ of US SPVs have non-US LPs — Vauban solved international complexity.</t>
  </si>
  <si>
    <t xml:space="preserve">KingsCrowd → CrowdCheck</t>
  </si>
  <si>
    <t xml:space="preserve">CrowdCheck</t>
  </si>
  <si>
    <t xml:space="preserve">N/A (compliance)</t>
  </si>
  <si>
    <t xml:space="preserve">Compliance + data analytics consolidation. Signals demand for intelligence layer in crowdfunding ecosystem.</t>
  </si>
  <si>
    <t xml:space="preserve">Schwab → Forge</t>
  </si>
  <si>
    <t xml:space="preserve">Charles Schwab</t>
  </si>
  <si>
    <t xml:space="preserve">Forge Global</t>
  </si>
  <si>
    <t xml:space="preserve">$1.9B</t>
  </si>
  <si>
    <t xml:space="preserve">Mar 2025</t>
  </si>
  <si>
    <t xml:space="preserve">~15x revenue</t>
  </si>
  <si>
    <t xml:space="preserve">Private market share trading for retail investors. Schwab expanding from public to private markets access.</t>
  </si>
  <si>
    <t xml:space="preserve">Hello Alice Series C</t>
  </si>
  <si>
    <t xml:space="preserve">N/A (fundraise)</t>
  </si>
  <si>
    <t xml:space="preserve">$130M val</t>
  </si>
  <si>
    <t xml:space="preserve">Apr 2024</t>
  </si>
  <si>
    <t xml:space="preserve">10.4x revenue</t>
  </si>
  <si>
    <t xml:space="preserve">Mastercard co-developed product. Identical B2B + community model to Sengo. Houston-based.</t>
  </si>
  <si>
    <t xml:space="preserve">Robinhood → Pluto</t>
  </si>
  <si>
    <t xml:space="preserve">Robinhood</t>
  </si>
  <si>
    <t xml:space="preserve">Pluto Capital</t>
  </si>
  <si>
    <t xml:space="preserve">Jul 2024</t>
  </si>
  <si>
    <t xml:space="preserve">N/A (AI research)</t>
  </si>
  <si>
    <t xml:space="preserve">AI-powered investment research platform. Signals Robinhood acquiring AI + education capabilities.</t>
  </si>
  <si>
    <t xml:space="preserve">SENGO STRATEGIC ACQUIRER CANDIDATES</t>
  </si>
  <si>
    <t xml:space="preserve">Who would acquire Sengo, and why? Mapped by acquirer category, strategic rationale, and precedent transaction.</t>
  </si>
  <si>
    <t xml:space="preserve">Acquirer Category</t>
  </si>
  <si>
    <t xml:space="preserve">Why They'd Acquire Sengo</t>
  </si>
  <si>
    <t xml:space="preserve">What Sengo Adds</t>
  </si>
  <si>
    <t xml:space="preserve">Precedent</t>
  </si>
  <si>
    <t xml:space="preserve">Est. Timing</t>
  </si>
  <si>
    <t xml:space="preserve">Deal Structure Likely</t>
  </si>
  <si>
    <t xml:space="preserve">Brokerage / WealthTech</t>
  </si>
  <si>
    <t xml:space="preserve">Expanding from public → private markets. Already acquired Forge ($1.9B). Needs education + community layer to onboard retail investors into alternatives.</t>
  </si>
  <si>
    <t xml:space="preserve">AI-powered education, community trust, founder/funder network</t>
  </si>
  <si>
    <t xml:space="preserve">Schwab → Forge (Mar 2025)</t>
  </si>
  <si>
    <t xml:space="preserve">2028–2030</t>
  </si>
  <si>
    <t xml:space="preserve">Acquisition ($50–150M)</t>
  </si>
  <si>
    <t xml:space="preserve">Acquiring AI + education capabilities (bought Pluto Capital). Community-driven investing aligns with brand. Private markets = next growth vector.</t>
  </si>
  <si>
    <t xml:space="preserve">AI education platform, engaged community, private market access playbook</t>
  </si>
  <si>
    <t xml:space="preserve">Robinhood → Pluto Capital (Jul 2024)</t>
  </si>
  <si>
    <t xml:space="preserve">2027–2029</t>
  </si>
  <si>
    <t xml:space="preserve">Acqui-hire or acquisition ($30–100M)</t>
  </si>
  <si>
    <t xml:space="preserve">Crowdfunding Platform</t>
  </si>
  <si>
    <t xml:space="preserve">Republic / StartEngine</t>
  </si>
  <si>
    <t xml:space="preserve">Both lack education + community layers. Republic acquires capabilities (INX for $60M). StartEngine has 9K shareholders but no education infrastructure.</t>
  </si>
  <si>
    <t xml:space="preserve">Education-to-transaction pipeline, AI tools, community engagement, event infrastructure</t>
  </si>
  <si>
    <t xml:space="preserve">Republic → INX ($60M, Apr 2025)</t>
  </si>
  <si>
    <t xml:space="preserve">2027–2028</t>
  </si>
  <si>
    <t xml:space="preserve">Acquisition ($20–80M)</t>
  </si>
  <si>
    <t xml:space="preserve">Payment Network</t>
  </si>
  <si>
    <t xml:space="preserve">Mastercard / Visa</t>
  </si>
  <si>
    <t xml:space="preserve">Mastercard already invested in Hello Alice (identical model). Alternative assets expansion requires trusted community + education for emerging investors.</t>
  </si>
  <si>
    <t xml:space="preserve">Community-driven financial education, B2B sponsorship infrastructure, founder network</t>
  </si>
  <si>
    <t xml:space="preserve">Mastercard → Hello Alice (strategic investment + co-dev)</t>
  </si>
  <si>
    <t xml:space="preserve">Strategic investment → acquisition ($50–200M)</t>
  </si>
  <si>
    <t xml:space="preserve">Financial Infrastructure</t>
  </si>
  <si>
    <t xml:space="preserve">Cap table → fund admin → full private markets stack. Goldman Sachs on cap table. Education + community completes the retail investor onramp.</t>
  </si>
  <si>
    <t xml:space="preserve">Investor education, community deal flow, AI due diligence tools</t>
  </si>
  <si>
    <t xml:space="preserve">Carta → Vauban ($80M+, Jun 2022)</t>
  </si>
  <si>
    <t xml:space="preserve">Acquisition ($40–120M)</t>
  </si>
  <si>
    <t xml:space="preserve">Financial Institution</t>
  </si>
  <si>
    <t xml:space="preserve">Goldman Sachs / JPMorgan</t>
  </si>
  <si>
    <t xml:space="preserve">Private markets democratization requires trusted education. Both launching retail alternatives products. Community + AI education = customer acquisition channel.</t>
  </si>
  <si>
    <t xml:space="preserve">Retail onramp for private markets, AI-powered education, diverse founder/funder network</t>
  </si>
  <si>
    <t xml:space="preserve">GS invested in Carta; JPM expanding Marcus platform</t>
  </si>
  <si>
    <t xml:space="preserve">2029–2031</t>
  </si>
  <si>
    <t xml:space="preserve">Acquisition or strategic partnership ($100M+)</t>
  </si>
  <si>
    <t xml:space="preserve">Data / Media</t>
  </si>
  <si>
    <t xml:space="preserve">Bloomberg / Yahoo Finance</t>
  </si>
  <si>
    <t xml:space="preserve">Financial data + education convergence. Bloomberg Terminal expanding to retail/alternatives. Private markets intelligence layer is gap in current offerings.</t>
  </si>
  <si>
    <t xml:space="preserve">AI-curated education, community data, private market deal flow intelligence</t>
  </si>
  <si>
    <t xml:space="preserve">KingsCrowd acquired CrowdCheck (data + compliance)</t>
  </si>
  <si>
    <t xml:space="preserve">Acqui-hire or acquisition ($30–80M)</t>
  </si>
  <si>
    <t xml:space="preserve">Alt-Assets Platform</t>
  </si>
  <si>
    <t xml:space="preserve">iCapital / Forge / Moonfare</t>
  </si>
  <si>
    <t xml:space="preserve">Private market platforms need education to expand beyond accredited investors. Community trust layer converts retail investors that pure platforms can’t reach.</t>
  </si>
  <si>
    <t xml:space="preserve">Education-first funnel, community engagement, AI personalization, event infrastructure</t>
  </si>
  <si>
    <t xml:space="preserve">Schwab → Forge; iCapital scaling alternatives access</t>
  </si>
  <si>
    <t xml:space="preserve">Acquisition ($30–100M)</t>
  </si>
  <si>
    <t xml:space="preserve">Sengo sits at the intersection of three converging M&amp;A themes: (1) private market democratization (Schwab→Forge), (2) AI-powered financial education (Robinhood→Pluto), and (3) community-driven capital platforms (Mastercard→Hello Alice). Every major acquirer category—brokerages, crowdfunding platforms, payment networks, financial institutions—is actively acquiring capabilities that Sengo already builds. The education + community + AI trust layer is the missing piece in every private markets platform stack.</t>
  </si>
  <si>
    <t xml:space="preserve">Signal to investors: At a $4–5M pre-seed cap, Sengo offers 8–30x return potential with multiple credible exit paths. The question isn’t whether education + community + private markets gets acquired—it’s which category of buyer moves first.</t>
  </si>
</sst>
</file>

<file path=xl/styles.xml><?xml version="1.0" encoding="utf-8"?>
<styleSheet xmlns="http://schemas.openxmlformats.org/spreadsheetml/2006/main">
  <numFmts count="11">
    <numFmt numFmtId="164" formatCode="General"/>
    <numFmt numFmtId="165" formatCode="\$#,##0;&quot;($&quot;#,##0\);\-"/>
    <numFmt numFmtId="166" formatCode="0.0%;\(0.0%\);\-"/>
    <numFmt numFmtId="167" formatCode="#,##0;\(#,##0\);\-"/>
    <numFmt numFmtId="168" formatCode="0.0\x"/>
    <numFmt numFmtId="169" formatCode="\$#,##0"/>
    <numFmt numFmtId="170" formatCode="@"/>
    <numFmt numFmtId="171" formatCode="\$#,##0.00"/>
    <numFmt numFmtId="172" formatCode="#,##0"/>
    <numFmt numFmtId="173" formatCode="0.0%"/>
    <numFmt numFmtId="174" formatCode="0.0"/>
  </numFmts>
  <fonts count="34">
    <font>
      <sz val="11"/>
      <color theme="1"/>
      <name val="Calibri"/>
      <family val="2"/>
      <charset val="1"/>
    </font>
    <font>
      <sz val="10"/>
      <name val="Arial"/>
      <family val="0"/>
    </font>
    <font>
      <sz val="10"/>
      <name val="Arial"/>
      <family val="0"/>
    </font>
    <font>
      <sz val="10"/>
      <name val="Arial"/>
      <family val="0"/>
    </font>
    <font>
      <b val="true"/>
      <sz val="16"/>
      <color rgb="FF1B3533"/>
      <name val="arial"/>
      <family val="0"/>
      <charset val="1"/>
    </font>
    <font>
      <b val="true"/>
      <sz val="11"/>
      <color rgb="FFD57028"/>
      <name val="Montserrat"/>
      <family val="0"/>
      <charset val="1"/>
    </font>
    <font>
      <b val="true"/>
      <sz val="12"/>
      <color rgb="FFFFFFFF"/>
      <name val="arial"/>
      <family val="0"/>
      <charset val="1"/>
    </font>
    <font>
      <b val="true"/>
      <sz val="11"/>
      <color rgb="FF000000"/>
      <name val="Arial"/>
      <family val="0"/>
      <charset val="1"/>
    </font>
    <font>
      <b val="true"/>
      <sz val="11"/>
      <color rgb="FF008000"/>
      <name val="Arial"/>
      <family val="0"/>
      <charset val="1"/>
    </font>
    <font>
      <sz val="11"/>
      <color rgb="FF000000"/>
      <name val="Arial"/>
      <family val="0"/>
      <charset val="1"/>
    </font>
    <font>
      <sz val="11"/>
      <color rgb="FF008000"/>
      <name val="Arial"/>
      <family val="0"/>
      <charset val="1"/>
    </font>
    <font>
      <b val="true"/>
      <sz val="12"/>
      <color rgb="FF1B3533"/>
      <name val="arial"/>
      <family val="0"/>
      <charset val="1"/>
    </font>
    <font>
      <i val="true"/>
      <sz val="10"/>
      <color rgb="FF666666"/>
      <name val="Arial"/>
      <family val="0"/>
      <charset val="1"/>
    </font>
    <font>
      <b val="true"/>
      <sz val="11"/>
      <color rgb="FF0000FF"/>
      <name val="Arial"/>
      <family val="0"/>
      <charset val="1"/>
    </font>
    <font>
      <b val="true"/>
      <sz val="11"/>
      <color rgb="FF1B3533"/>
      <name val="Arial"/>
      <family val="0"/>
      <charset val="1"/>
    </font>
    <font>
      <i val="true"/>
      <sz val="10"/>
      <color rgb="FF555555"/>
      <name val="Arial"/>
      <family val="0"/>
      <charset val="1"/>
    </font>
    <font>
      <sz val="10"/>
      <color rgb="FF333333"/>
      <name val="Arial"/>
      <family val="0"/>
      <charset val="1"/>
    </font>
    <font>
      <i val="true"/>
      <sz val="10"/>
      <color rgb="FFD57028"/>
      <name val="Arial"/>
      <family val="0"/>
      <charset val="1"/>
    </font>
    <font>
      <b val="true"/>
      <sz val="13"/>
      <color rgb="FFD57028"/>
      <name val="Montserrat"/>
      <family val="0"/>
      <charset val="1"/>
    </font>
    <font>
      <sz val="10"/>
      <color rgb="FF444444"/>
      <name val="Arial"/>
      <family val="0"/>
      <charset val="1"/>
    </font>
    <font>
      <sz val="10"/>
      <color rgb="FF0000FF"/>
      <name val="Arial"/>
      <family val="0"/>
      <charset val="1"/>
    </font>
    <font>
      <sz val="10"/>
      <color rgb="FF000000"/>
      <name val="Arial"/>
      <family val="0"/>
      <charset val="1"/>
    </font>
    <font>
      <sz val="11"/>
      <color rgb="FF0000FF"/>
      <name val="Arial"/>
      <family val="0"/>
      <charset val="1"/>
    </font>
    <font>
      <sz val="10"/>
      <color rgb="FF666666"/>
      <name val="Arial"/>
      <family val="0"/>
      <charset val="1"/>
    </font>
    <font>
      <i val="true"/>
      <sz val="9"/>
      <color rgb="FF666666"/>
      <name val="Arial"/>
      <family val="0"/>
      <charset val="1"/>
    </font>
    <font>
      <b val="true"/>
      <sz val="11"/>
      <color rgb="FFFFFFFF"/>
      <name val="arial"/>
      <family val="0"/>
      <charset val="1"/>
    </font>
    <font>
      <sz val="10"/>
      <color rgb="FF4A2E0F"/>
      <name val="Arial"/>
      <family val="0"/>
      <charset val="1"/>
    </font>
    <font>
      <b val="true"/>
      <sz val="11"/>
      <color rgb="FF1B3533"/>
      <name val="arial"/>
      <family val="0"/>
      <charset val="1"/>
    </font>
    <font>
      <b val="true"/>
      <sz val="10"/>
      <color rgb="FFD57028"/>
      <name val="Arial"/>
      <family val="0"/>
      <charset val="1"/>
    </font>
    <font>
      <b val="true"/>
      <sz val="10"/>
      <color rgb="FF1B3533"/>
      <name val="Arial"/>
      <family val="0"/>
      <charset val="1"/>
    </font>
    <font>
      <b val="true"/>
      <sz val="10"/>
      <color rgb="FF000000"/>
      <name val="Arial"/>
      <family val="0"/>
      <charset val="1"/>
    </font>
    <font>
      <i val="true"/>
      <sz val="11"/>
      <color rgb="FF2E7D32"/>
      <name val="Arial"/>
      <family val="0"/>
      <charset val="1"/>
    </font>
    <font>
      <sz val="9"/>
      <color rgb="FF333333"/>
      <name val="Arial"/>
      <family val="0"/>
      <charset val="1"/>
    </font>
    <font>
      <i val="true"/>
      <sz val="10"/>
      <color rgb="FF1B3533"/>
      <name val="Arial"/>
      <family val="0"/>
      <charset val="1"/>
    </font>
  </fonts>
  <fills count="14">
    <fill>
      <patternFill patternType="none"/>
    </fill>
    <fill>
      <patternFill patternType="gray125"/>
    </fill>
    <fill>
      <patternFill patternType="solid">
        <fgColor rgb="FF1B3533"/>
        <bgColor rgb="FF333333"/>
      </patternFill>
    </fill>
    <fill>
      <patternFill patternType="solid">
        <fgColor rgb="FFF5F5F5"/>
        <bgColor rgb="FFFFF8F0"/>
      </patternFill>
    </fill>
    <fill>
      <patternFill patternType="solid">
        <fgColor rgb="FFF3EDE7"/>
        <bgColor rgb="FFFFF2E5"/>
      </patternFill>
    </fill>
    <fill>
      <patternFill patternType="solid">
        <fgColor rgb="FFDBEEF4"/>
        <bgColor rgb="FFE8F0FE"/>
      </patternFill>
    </fill>
    <fill>
      <patternFill patternType="solid">
        <fgColor rgb="FFFFF2E5"/>
        <bgColor rgb="FFFFF8E1"/>
      </patternFill>
    </fill>
    <fill>
      <patternFill patternType="solid">
        <fgColor rgb="FFFFF8F0"/>
        <bgColor rgb="FFFFF8E1"/>
      </patternFill>
    </fill>
    <fill>
      <patternFill patternType="solid">
        <fgColor rgb="FFFFFFF0"/>
        <bgColor rgb="FFFFFFFF"/>
      </patternFill>
    </fill>
    <fill>
      <patternFill patternType="solid">
        <fgColor rgb="FF1565C0"/>
        <bgColor rgb="FF3366FF"/>
      </patternFill>
    </fill>
    <fill>
      <patternFill patternType="solid">
        <fgColor rgb="FFF9A825"/>
        <bgColor rgb="FFFFCC00"/>
      </patternFill>
    </fill>
    <fill>
      <patternFill patternType="solid">
        <fgColor rgb="FFE8F0FE"/>
        <bgColor rgb="FFDBEEF4"/>
      </patternFill>
    </fill>
    <fill>
      <patternFill patternType="solid">
        <fgColor rgb="FFFFF8E1"/>
        <bgColor rgb="FFFFF2E5"/>
      </patternFill>
    </fill>
    <fill>
      <patternFill patternType="solid">
        <fgColor rgb="FF2E7D32"/>
        <bgColor rgb="FF008000"/>
      </patternFill>
    </fill>
  </fills>
  <borders count="5">
    <border diagonalUp="false" diagonalDown="false">
      <left/>
      <right/>
      <top/>
      <bottom/>
      <diagonal/>
    </border>
    <border diagonalUp="false" diagonalDown="false">
      <left style="thin">
        <color rgb="FFD4C5B0"/>
      </left>
      <right style="thin">
        <color rgb="FFD4C5B0"/>
      </right>
      <top style="thin">
        <color rgb="FFD4C5B0"/>
      </top>
      <bottom style="thin">
        <color rgb="FFD4C5B0"/>
      </bottom>
      <diagonal/>
    </border>
    <border diagonalUp="false" diagonalDown="false">
      <left/>
      <right/>
      <top/>
      <bottom style="thin">
        <color rgb="FFD4C5B0"/>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top/>
      <bottom style="medium">
        <color rgb="FF1B353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6" fontId="10" fillId="3"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right" vertical="bottom" textRotation="0" wrapText="false" indent="0" shrinkToFit="false"/>
      <protection locked="true" hidden="false"/>
    </xf>
    <xf numFmtId="168" fontId="10" fillId="3" borderId="1" xfId="0" applyFont="true" applyBorder="true" applyAlignment="true" applyProtection="false">
      <alignment horizontal="right" vertical="bottom" textRotation="0" wrapText="false" indent="0" shrinkToFit="false"/>
      <protection locked="true" hidden="false"/>
    </xf>
    <xf numFmtId="169" fontId="8" fillId="3" borderId="1" xfId="0" applyFont="true" applyBorder="true" applyAlignment="true" applyProtection="false">
      <alignment horizontal="right" vertical="bottom" textRotation="0" wrapText="false" indent="0" shrinkToFit="false"/>
      <protection locked="true" hidden="false"/>
    </xf>
    <xf numFmtId="164" fontId="11" fillId="4" borderId="2" xfId="0" applyFont="true" applyBorder="true" applyAlignment="tru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bottom" textRotation="0" wrapText="false" indent="0" shrinkToFit="false"/>
      <protection locked="true" hidden="false"/>
    </xf>
    <xf numFmtId="164" fontId="12" fillId="4" borderId="2"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13" fillId="5" borderId="1" xfId="0" applyFont="true" applyBorder="true" applyAlignment="true" applyProtection="false">
      <alignment horizontal="general" vertical="bottom" textRotation="0" wrapText="false" indent="0" shrinkToFit="false"/>
      <protection locked="true" hidden="false"/>
    </xf>
    <xf numFmtId="170" fontId="12" fillId="5" borderId="1"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7" fillId="6" borderId="1" xfId="0" applyFont="true" applyBorder="true" applyAlignment="true" applyProtection="false">
      <alignment horizontal="general" vertical="bottom" textRotation="0" wrapText="false" indent="0" shrinkToFit="false"/>
      <protection locked="true" hidden="false"/>
    </xf>
    <xf numFmtId="166" fontId="13" fillId="5" borderId="1" xfId="0" applyFont="true" applyBorder="true" applyAlignment="true" applyProtection="false">
      <alignment horizontal="general" vertical="bottom" textRotation="0" wrapText="false" indent="0" shrinkToFit="false"/>
      <protection locked="true" hidden="false"/>
    </xf>
    <xf numFmtId="168" fontId="13" fillId="5" borderId="1" xfId="0" applyFont="true" applyBorder="true" applyAlignment="true" applyProtection="false">
      <alignment horizontal="general" vertical="bottom" textRotation="0" wrapText="false" indent="0" shrinkToFit="false"/>
      <protection locked="true" hidden="false"/>
    </xf>
    <xf numFmtId="167" fontId="13" fillId="5" borderId="1" xfId="0" applyFont="true" applyBorder="true" applyAlignment="true" applyProtection="false">
      <alignment horizontal="general" vertical="bottom" textRotation="0" wrapText="false" indent="0" shrinkToFit="false"/>
      <protection locked="true" hidden="false"/>
    </xf>
    <xf numFmtId="169" fontId="13" fillId="5" borderId="1" xfId="0" applyFont="true" applyBorder="true" applyAlignment="true" applyProtection="false">
      <alignment horizontal="general" vertical="bottom" textRotation="0" wrapText="false" indent="0" shrinkToFit="false"/>
      <protection locked="true" hidden="false"/>
    </xf>
    <xf numFmtId="166" fontId="9" fillId="6" borderId="1" xfId="0" applyFont="true" applyBorder="true" applyAlignment="true" applyProtection="false">
      <alignment horizontal="general" vertical="bottom" textRotation="0" wrapText="false" indent="0" shrinkToFit="false"/>
      <protection locked="true" hidden="false"/>
    </xf>
    <xf numFmtId="165" fontId="9" fillId="6" borderId="1" xfId="0" applyFont="true" applyBorder="true" applyAlignment="true" applyProtection="false">
      <alignment horizontal="general" vertical="bottom" textRotation="0" wrapText="false" indent="0" shrinkToFit="false"/>
      <protection locked="true" hidden="false"/>
    </xf>
    <xf numFmtId="166" fontId="8" fillId="6" borderId="1" xfId="0" applyFont="true" applyBorder="true" applyAlignment="true" applyProtection="false">
      <alignment horizontal="general" vertical="bottom" textRotation="0" wrapText="false" indent="0" shrinkToFit="false"/>
      <protection locked="true" hidden="false"/>
    </xf>
    <xf numFmtId="164" fontId="14" fillId="0" borderId="2" xfId="0" applyFont="true" applyBorder="true" applyAlignment="true" applyProtection="false">
      <alignment horizontal="general" vertical="bottom" textRotation="0" wrapText="false" indent="0" shrinkToFit="false"/>
      <protection locked="true" hidden="false"/>
    </xf>
    <xf numFmtId="164" fontId="15" fillId="0" borderId="2" xfId="0" applyFont="true" applyBorder="true" applyAlignment="true" applyProtection="false">
      <alignment horizontal="general" vertical="bottom" textRotation="0" wrapText="tru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4" fontId="16" fillId="0" borderId="2" xfId="0" applyFont="true" applyBorder="true" applyAlignment="true" applyProtection="false">
      <alignment horizontal="general" vertical="bottom" textRotation="0" wrapText="true" indent="0" shrinkToFit="false"/>
      <protection locked="true" hidden="false"/>
    </xf>
    <xf numFmtId="164" fontId="11" fillId="7" borderId="2" xfId="0" applyFont="true" applyBorder="true" applyAlignment="true" applyProtection="false">
      <alignment horizontal="general" vertical="bottom" textRotation="0" wrapText="false" indent="0" shrinkToFit="false"/>
      <protection locked="true" hidden="false"/>
    </xf>
    <xf numFmtId="164" fontId="17" fillId="7" borderId="2" xfId="0" applyFont="true" applyBorder="true" applyAlignment="true" applyProtection="false">
      <alignment horizontal="general" vertical="bottom" textRotation="0" wrapText="tru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19" fillId="3" borderId="1" xfId="0" applyFont="true" applyBorder="true" applyAlignment="true" applyProtection="false">
      <alignment horizontal="general" vertical="bottom" textRotation="0" wrapText="false" indent="0" shrinkToFit="false"/>
      <protection locked="true" hidden="false"/>
    </xf>
    <xf numFmtId="167" fontId="20" fillId="3" borderId="1" xfId="0" applyFont="true" applyBorder="true" applyAlignment="true" applyProtection="false">
      <alignment horizontal="right" vertical="bottom" textRotation="0" wrapText="false" indent="0" shrinkToFit="false"/>
      <protection locked="true" hidden="false"/>
    </xf>
    <xf numFmtId="164" fontId="19" fillId="0" borderId="1" xfId="0" applyFont="true" applyBorder="true" applyAlignment="true" applyProtection="false">
      <alignment horizontal="general" vertical="bottom" textRotation="0" wrapText="false" indent="0" shrinkToFit="false"/>
      <protection locked="true" hidden="false"/>
    </xf>
    <xf numFmtId="165" fontId="21" fillId="0" borderId="1" xfId="0" applyFont="true" applyBorder="true" applyAlignment="true" applyProtection="false">
      <alignment horizontal="right" vertical="bottom" textRotation="0" wrapText="false" indent="0" shrinkToFit="false"/>
      <protection locked="true" hidden="false"/>
    </xf>
    <xf numFmtId="165" fontId="20" fillId="3" borderId="1" xfId="0" applyFont="true" applyBorder="true" applyAlignment="true" applyProtection="false">
      <alignment horizontal="right" vertical="bottom" textRotation="0" wrapText="false" indent="0" shrinkToFit="false"/>
      <protection locked="true" hidden="false"/>
    </xf>
    <xf numFmtId="165" fontId="20" fillId="0" borderId="1" xfId="0" applyFont="true" applyBorder="true" applyAlignment="true" applyProtection="false">
      <alignment horizontal="right"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22" fillId="3" borderId="1" xfId="0" applyFont="true" applyBorder="true" applyAlignment="true" applyProtection="false">
      <alignment horizontal="right" vertical="bottom" textRotation="0" wrapText="false" indent="0" shrinkToFit="false"/>
      <protection locked="true" hidden="false"/>
    </xf>
    <xf numFmtId="165" fontId="22" fillId="0" borderId="1" xfId="0" applyFont="true" applyBorder="true" applyAlignment="true" applyProtection="false">
      <alignment horizontal="right" vertical="bottom" textRotation="0" wrapText="false" indent="0" shrinkToFit="false"/>
      <protection locked="true" hidden="false"/>
    </xf>
    <xf numFmtId="166" fontId="22" fillId="3" borderId="1" xfId="0" applyFont="true" applyBorder="true" applyAlignment="true" applyProtection="false">
      <alignment horizontal="right" vertical="bottom" textRotation="0" wrapText="false" indent="0" shrinkToFit="false"/>
      <protection locked="true" hidden="false"/>
    </xf>
    <xf numFmtId="165" fontId="9" fillId="3" borderId="1" xfId="0" applyFont="true" applyBorder="true" applyAlignment="true" applyProtection="false">
      <alignment horizontal="right" vertical="bottom" textRotation="0" wrapText="false" indent="0" shrinkToFit="false"/>
      <protection locked="true" hidden="false"/>
    </xf>
    <xf numFmtId="167" fontId="9" fillId="0" borderId="1" xfId="0" applyFont="true" applyBorder="true" applyAlignment="true" applyProtection="false">
      <alignment horizontal="right" vertical="bottom" textRotation="0" wrapText="false" indent="0" shrinkToFit="false"/>
      <protection locked="true" hidden="false"/>
    </xf>
    <xf numFmtId="167" fontId="9" fillId="3" borderId="1" xfId="0" applyFont="true" applyBorder="true" applyAlignment="true" applyProtection="false">
      <alignment horizontal="right" vertical="bottom" textRotation="0" wrapText="false" indent="0" shrinkToFit="false"/>
      <protection locked="true" hidden="false"/>
    </xf>
    <xf numFmtId="167" fontId="22" fillId="0" borderId="1" xfId="0" applyFont="true" applyBorder="true" applyAlignment="true" applyProtection="false">
      <alignment horizontal="right" vertical="bottom" textRotation="0" wrapText="false" indent="0" shrinkToFit="false"/>
      <protection locked="true" hidden="false"/>
    </xf>
    <xf numFmtId="169" fontId="21" fillId="0" borderId="1" xfId="0" applyFont="true" applyBorder="true" applyAlignment="true" applyProtection="false">
      <alignment horizontal="right" vertical="bottom" textRotation="0" wrapText="false" indent="0" shrinkToFit="false"/>
      <protection locked="true" hidden="false"/>
    </xf>
    <xf numFmtId="169" fontId="22" fillId="0" borderId="1" xfId="0" applyFont="true" applyBorder="true" applyAlignment="true" applyProtection="false">
      <alignment horizontal="right" vertical="bottom" textRotation="0" wrapText="false" indent="0" shrinkToFit="false"/>
      <protection locked="true" hidden="false"/>
    </xf>
    <xf numFmtId="169" fontId="9" fillId="0" borderId="1" xfId="0" applyFont="true" applyBorder="true" applyAlignment="true" applyProtection="false">
      <alignment horizontal="right" vertical="bottom" textRotation="0" wrapText="false" indent="0" shrinkToFit="false"/>
      <protection locked="true" hidden="false"/>
    </xf>
    <xf numFmtId="168" fontId="9" fillId="3" borderId="1" xfId="0" applyFont="true" applyBorder="true" applyAlignment="true" applyProtection="false">
      <alignment horizontal="right"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1" fontId="21" fillId="0" borderId="0" xfId="0" applyFont="true" applyBorder="false" applyAlignment="true" applyProtection="false">
      <alignment horizontal="general" vertical="bottom" textRotation="0" wrapText="false" indent="0" shrinkToFit="false"/>
      <protection locked="true" hidden="false"/>
    </xf>
    <xf numFmtId="172" fontId="21"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25" fillId="2" borderId="0" xfId="0" applyFont="true" applyBorder="false" applyAlignment="true" applyProtection="false">
      <alignment horizontal="center" vertical="bottom" textRotation="0" wrapText="false" indent="0" shrinkToFit="false"/>
      <protection locked="true" hidden="false"/>
    </xf>
    <xf numFmtId="164" fontId="25" fillId="2"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5" fontId="13" fillId="8" borderId="3" xfId="0" applyFont="true" applyBorder="tru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5" fontId="10" fillId="0" borderId="3"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5" fontId="14" fillId="0" borderId="4" xfId="0" applyFont="true" applyBorder="tru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5" fontId="14" fillId="3"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73" fontId="9" fillId="0" borderId="0" xfId="0" applyFont="true" applyBorder="false" applyAlignment="true" applyProtection="false">
      <alignment horizontal="general" vertical="bottom" textRotation="0" wrapText="false" indent="0" shrinkToFit="false"/>
      <protection locked="true" hidden="false"/>
    </xf>
    <xf numFmtId="165" fontId="7" fillId="0" borderId="3" xfId="0" applyFont="true" applyBorder="tru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5" fontId="20" fillId="8" borderId="3" xfId="0" applyFont="true" applyBorder="true" applyAlignment="true" applyProtection="false">
      <alignment horizontal="general" vertical="bottom" textRotation="0" wrapText="false" indent="0" shrinkToFit="false"/>
      <protection locked="true" hidden="false"/>
    </xf>
    <xf numFmtId="165" fontId="26" fillId="0" borderId="0" xfId="0" applyFont="true" applyBorder="false" applyAlignment="true" applyProtection="false">
      <alignment horizontal="general" vertical="bottom" textRotation="0" wrapText="false" indent="0" shrinkToFit="false"/>
      <protection locked="true" hidden="false"/>
    </xf>
    <xf numFmtId="165" fontId="13" fillId="0" borderId="3" xfId="0" applyFont="true" applyBorder="true" applyAlignment="true" applyProtection="false">
      <alignment horizontal="general" vertical="bottom" textRotation="0" wrapText="false" indent="0" shrinkToFit="false"/>
      <protection locked="true" hidden="false"/>
    </xf>
    <xf numFmtId="165" fontId="13"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8" fillId="3" borderId="0" xfId="0" applyFont="true" applyBorder="false" applyAlignment="true" applyProtection="false">
      <alignment horizontal="general" vertical="bottom" textRotation="0" wrapText="false" indent="0" shrinkToFit="false"/>
      <protection locked="true" hidden="false"/>
    </xf>
    <xf numFmtId="164" fontId="29" fillId="3" borderId="0" xfId="0" applyFont="true" applyBorder="false" applyAlignment="true" applyProtection="false">
      <alignment horizontal="center" vertical="bottom" textRotation="0" wrapText="false" indent="0" shrinkToFit="false"/>
      <protection locked="true" hidden="false"/>
    </xf>
    <xf numFmtId="164" fontId="26" fillId="3" borderId="0"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center" vertical="bottom" textRotation="0" wrapText="false" indent="0" shrinkToFit="false"/>
      <protection locked="true" hidden="false"/>
    </xf>
    <xf numFmtId="164" fontId="26" fillId="0" borderId="0" xfId="0" applyFont="true" applyBorder="true" applyAlignment="true" applyProtection="false">
      <alignment horizontal="general" vertical="bottom" textRotation="0" wrapText="false" indent="0" shrinkToFit="false"/>
      <protection locked="true" hidden="false"/>
    </xf>
    <xf numFmtId="166" fontId="9" fillId="3"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6" fillId="9" borderId="1" xfId="0" applyFont="true" applyBorder="true" applyAlignment="true" applyProtection="false">
      <alignment horizontal="center" vertical="bottom" textRotation="0" wrapText="true" indent="0" shrinkToFit="false"/>
      <protection locked="true" hidden="false"/>
    </xf>
    <xf numFmtId="164" fontId="6" fillId="10" borderId="1" xfId="0" applyFont="true" applyBorder="true" applyAlignment="true" applyProtection="false">
      <alignment horizontal="center" vertical="bottom" textRotation="0" wrapText="true" indent="0" shrinkToFit="false"/>
      <protection locked="true" hidden="false"/>
    </xf>
    <xf numFmtId="165" fontId="0" fillId="0" borderId="2" xfId="0" applyFont="true" applyBorder="true" applyAlignment="true" applyProtection="false">
      <alignment horizontal="left" vertical="bottom" textRotation="0" wrapText="false" indent="0" shrinkToFit="false"/>
      <protection locked="true" hidden="false"/>
    </xf>
    <xf numFmtId="165" fontId="21" fillId="11" borderId="2" xfId="0" applyFont="true" applyBorder="true" applyAlignment="true" applyProtection="false">
      <alignment horizontal="right" vertical="bottom" textRotation="0" wrapText="false" indent="0" shrinkToFit="false"/>
      <protection locked="true" hidden="false"/>
    </xf>
    <xf numFmtId="165" fontId="12" fillId="12" borderId="2" xfId="0" applyFont="true" applyBorder="true" applyAlignment="true" applyProtection="false">
      <alignment horizontal="right" vertical="bottom" textRotation="0" wrapText="false" indent="0" shrinkToFit="false"/>
      <protection locked="true" hidden="false"/>
    </xf>
    <xf numFmtId="165" fontId="0" fillId="0" borderId="2" xfId="0" applyFont="false" applyBorder="true" applyAlignment="true" applyProtection="false">
      <alignment horizontal="right" vertical="bottom" textRotation="0" wrapText="false" indent="0" shrinkToFit="false"/>
      <protection locked="true" hidden="false"/>
    </xf>
    <xf numFmtId="165" fontId="30" fillId="0" borderId="2" xfId="0" applyFont="true" applyBorder="true" applyAlignment="true" applyProtection="false">
      <alignment horizontal="left" vertical="bottom" textRotation="0" wrapText="false" indent="0" shrinkToFit="false"/>
      <protection locked="true" hidden="false"/>
    </xf>
    <xf numFmtId="165" fontId="30" fillId="0" borderId="2" xfId="0" applyFont="true" applyBorder="true" applyAlignment="true" applyProtection="false">
      <alignment horizontal="right" vertical="bottom" textRotation="0" wrapText="false" indent="0" shrinkToFit="false"/>
      <protection locked="true" hidden="false"/>
    </xf>
    <xf numFmtId="166" fontId="0" fillId="0" borderId="2" xfId="0" applyFont="true" applyBorder="true" applyAlignment="true" applyProtection="false">
      <alignment horizontal="left" vertical="bottom" textRotation="0" wrapText="false" indent="0" shrinkToFit="false"/>
      <protection locked="true" hidden="false"/>
    </xf>
    <xf numFmtId="166" fontId="21" fillId="11" borderId="2" xfId="0" applyFont="true" applyBorder="true" applyAlignment="true" applyProtection="false">
      <alignment horizontal="right" vertical="bottom" textRotation="0" wrapText="false" indent="0" shrinkToFit="false"/>
      <protection locked="true" hidden="false"/>
    </xf>
    <xf numFmtId="166" fontId="12" fillId="12" borderId="2" xfId="0" applyFont="true" applyBorder="true" applyAlignment="true" applyProtection="false">
      <alignment horizontal="right" vertical="bottom" textRotation="0" wrapText="false" indent="0" shrinkToFit="false"/>
      <protection locked="true" hidden="false"/>
    </xf>
    <xf numFmtId="166" fontId="0" fillId="0" borderId="2" xfId="0" applyFont="fals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true" applyAlignment="tru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4" fontId="6" fillId="13" borderId="1" xfId="0" applyFont="true" applyBorder="true" applyAlignment="true" applyProtection="false">
      <alignment horizontal="center" vertical="bottom" textRotation="0" wrapText="true" indent="0" shrinkToFit="false"/>
      <protection locked="true" hidden="false"/>
    </xf>
    <xf numFmtId="164" fontId="31" fillId="0" borderId="0" xfId="0" applyFont="true" applyBorder="true" applyAlignment="true" applyProtection="false">
      <alignment horizontal="general" vertical="bottom" textRotation="0" wrapText="true" indent="0" shrinkToFit="false"/>
      <protection locked="true" hidden="false"/>
    </xf>
    <xf numFmtId="166" fontId="22" fillId="5" borderId="1" xfId="0" applyFont="true" applyBorder="true" applyAlignment="true" applyProtection="false">
      <alignment horizontal="right" vertical="bottom" textRotation="0" wrapText="false" indent="0" shrinkToFit="false"/>
      <protection locked="true" hidden="false"/>
    </xf>
    <xf numFmtId="166" fontId="22" fillId="0" borderId="1" xfId="0" applyFont="true" applyBorder="true" applyAlignment="true" applyProtection="false">
      <alignment horizontal="right" vertical="bottom" textRotation="0" wrapText="false" indent="0" shrinkToFit="false"/>
      <protection locked="true" hidden="false"/>
    </xf>
    <xf numFmtId="169" fontId="10" fillId="0" borderId="1" xfId="0" applyFont="true" applyBorder="true" applyAlignment="true" applyProtection="false">
      <alignment horizontal="right" vertical="bottom" textRotation="0" wrapText="false" indent="0" shrinkToFit="false"/>
      <protection locked="true" hidden="false"/>
    </xf>
    <xf numFmtId="169" fontId="10" fillId="3" borderId="1" xfId="0" applyFont="true" applyBorder="true" applyAlignment="true" applyProtection="false">
      <alignment horizontal="right" vertical="bottom" textRotation="0" wrapText="false" indent="0" shrinkToFit="false"/>
      <protection locked="true" hidden="false"/>
    </xf>
    <xf numFmtId="166" fontId="21" fillId="0" borderId="1" xfId="0" applyFont="true" applyBorder="true" applyAlignment="true" applyProtection="false">
      <alignment horizontal="right" vertical="bottom" textRotation="0" wrapText="false" indent="0" shrinkToFit="false"/>
      <protection locked="true" hidden="false"/>
    </xf>
    <xf numFmtId="165" fontId="21" fillId="3" borderId="1" xfId="0" applyFont="true" applyBorder="true" applyAlignment="true" applyProtection="false">
      <alignment horizontal="right" vertical="bottom" textRotation="0" wrapText="false" indent="0" shrinkToFit="false"/>
      <protection locked="true" hidden="false"/>
    </xf>
    <xf numFmtId="168" fontId="21" fillId="3" borderId="1" xfId="0" applyFont="true" applyBorder="true" applyAlignment="true" applyProtection="false">
      <alignment horizontal="right" vertical="bottom" textRotation="0" wrapText="false" indent="0" shrinkToFit="false"/>
      <protection locked="true" hidden="false"/>
    </xf>
    <xf numFmtId="166" fontId="21" fillId="3" borderId="1" xfId="0" applyFont="true" applyBorder="true" applyAlignment="true" applyProtection="false">
      <alignment horizontal="right" vertical="bottom" textRotation="0" wrapText="false" indent="0" shrinkToFit="false"/>
      <protection locked="true" hidden="false"/>
    </xf>
    <xf numFmtId="168" fontId="21" fillId="0" borderId="1" xfId="0" applyFont="true" applyBorder="true" applyAlignment="true" applyProtection="false">
      <alignment horizontal="right" vertical="bottom" textRotation="0" wrapText="fals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70" fontId="9" fillId="3" borderId="1" xfId="0" applyFont="true" applyBorder="true" applyAlignment="true" applyProtection="false">
      <alignment horizontal="right" vertical="bottom" textRotation="0" wrapText="false" indent="0" shrinkToFit="false"/>
      <protection locked="true" hidden="false"/>
    </xf>
    <xf numFmtId="166" fontId="8" fillId="3" borderId="1" xfId="0" applyFont="true" applyBorder="true" applyAlignment="true" applyProtection="false">
      <alignment horizontal="right" vertical="bottom" textRotation="0" wrapText="false" indent="0" shrinkToFit="false"/>
      <protection locked="true" hidden="false"/>
    </xf>
    <xf numFmtId="164" fontId="32" fillId="3" borderId="3" xfId="0" applyFont="true" applyBorder="true" applyAlignment="true" applyProtection="false">
      <alignment horizontal="general" vertical="bottom" textRotation="0" wrapText="false" indent="0" shrinkToFit="false"/>
      <protection locked="true" hidden="false"/>
    </xf>
    <xf numFmtId="164" fontId="32" fillId="3" borderId="3" xfId="0" applyFont="true" applyBorder="true" applyAlignment="true" applyProtection="false">
      <alignment horizontal="general" vertical="bottom" textRotation="0" wrapText="true" indent="0" shrinkToFit="false"/>
      <protection locked="true" hidden="false"/>
    </xf>
    <xf numFmtId="164" fontId="32" fillId="0" borderId="3" xfId="0" applyFont="true" applyBorder="true" applyAlignment="true" applyProtection="false">
      <alignment horizontal="general" vertical="bottom" textRotation="0" wrapText="false" indent="0" shrinkToFit="false"/>
      <protection locked="true" hidden="false"/>
    </xf>
    <xf numFmtId="164" fontId="32" fillId="0" borderId="3" xfId="0" applyFont="true" applyBorder="true" applyAlignment="true" applyProtection="false">
      <alignment horizontal="general" vertical="bottom" textRotation="0" wrapText="true" indent="0" shrinkToFit="false"/>
      <protection locked="true" hidden="false"/>
    </xf>
    <xf numFmtId="164" fontId="33" fillId="0" borderId="0" xfId="0" applyFont="true" applyBorder="true" applyAlignment="true" applyProtection="false">
      <alignment horizontal="general" vertical="bottom" textRotation="0" wrapText="true" indent="0" shrinkToFit="false"/>
      <protection locked="true" hidden="false"/>
    </xf>
    <xf numFmtId="164" fontId="28"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17E36"/>
      <rgbColor rgb="FF800080"/>
      <rgbColor rgb="FF008080"/>
      <rgbColor rgb="FFCCCCCC"/>
      <rgbColor rgb="FF555555"/>
      <rgbColor rgb="FF9999FF"/>
      <rgbColor rgb="FF993366"/>
      <rgbColor rgb="FFFFF8E1"/>
      <rgbColor rgb="FFDBEEF4"/>
      <rgbColor rgb="FF4A148C"/>
      <rgbColor rgb="FFFF8080"/>
      <rgbColor rgb="FF1565C0"/>
      <rgbColor rgb="FFF5F5F5"/>
      <rgbColor rgb="FF000080"/>
      <rgbColor rgb="FFFF00FF"/>
      <rgbColor rgb="FFFFFF00"/>
      <rgbColor rgb="FF00FFFF"/>
      <rgbColor rgb="FF800080"/>
      <rgbColor rgb="FF800000"/>
      <rgbColor rgb="FF008080"/>
      <rgbColor rgb="FF0000FF"/>
      <rgbColor rgb="FF00CCFF"/>
      <rgbColor rgb="FFE8F0FE"/>
      <rgbColor rgb="FFF3EDE7"/>
      <rgbColor rgb="FFFFF2E5"/>
      <rgbColor rgb="FFFFF8F0"/>
      <rgbColor rgb="FFFFFFF0"/>
      <rgbColor rgb="FFCC99FF"/>
      <rgbColor rgb="FFD4C5B0"/>
      <rgbColor rgb="FF3366FF"/>
      <rgbColor rgb="FF33CCCC"/>
      <rgbColor rgb="FF99CC00"/>
      <rgbColor rgb="FFFFCC00"/>
      <rgbColor rgb="FFF9A825"/>
      <rgbColor rgb="FFD57028"/>
      <rgbColor rgb="FF666666"/>
      <rgbColor rgb="FF969696"/>
      <rgbColor rgb="FF1B3533"/>
      <rgbColor rgb="FF2E7D32"/>
      <rgbColor rgb="FF003300"/>
      <rgbColor rgb="FF4A2E0F"/>
      <rgbColor rgb="FF993300"/>
      <rgbColor rgb="FF993366"/>
      <rgbColor rgb="FF44444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7028"/>
    <pageSetUpPr fitToPage="false"/>
  </sheetPr>
  <dimension ref="A1:E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5" min="2" style="1" width="16"/>
  </cols>
  <sheetData>
    <row r="1" customFormat="false" ht="19.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c r="B4" s="4" t="s">
        <v>2</v>
      </c>
      <c r="C4" s="4" t="s">
        <v>3</v>
      </c>
      <c r="D4" s="4" t="s">
        <v>4</v>
      </c>
      <c r="E4" s="4" t="s">
        <v>5</v>
      </c>
    </row>
    <row r="5" customFormat="false" ht="15" hidden="false" customHeight="true" outlineLevel="0" collapsed="false">
      <c r="A5" s="5" t="s">
        <v>6</v>
      </c>
      <c r="B5" s="6" t="n">
        <f aca="false">Projections!B34</f>
        <v>194681</v>
      </c>
      <c r="C5" s="6" t="n">
        <f aca="false">Projections!C34</f>
        <v>315346</v>
      </c>
      <c r="D5" s="6" t="n">
        <f aca="false">Projections!D34</f>
        <v>797530</v>
      </c>
      <c r="E5" s="6" t="n">
        <f aca="false">Projections!E34</f>
        <v>1769500</v>
      </c>
    </row>
    <row r="6" customFormat="false" ht="15" hidden="false" customHeight="true" outlineLevel="0" collapsed="false">
      <c r="A6" s="7" t="s">
        <v>7</v>
      </c>
      <c r="B6" s="8"/>
      <c r="C6" s="8" t="n">
        <f aca="false">IF(B5&gt;0,(C5-B5)/B5,0)</f>
        <v>0.619808815446808</v>
      </c>
      <c r="D6" s="8" t="n">
        <f aca="false">IF(C5&gt;0,(D5-C5)/C5,0)</f>
        <v>1.52906331458144</v>
      </c>
      <c r="E6" s="8" t="n">
        <f aca="false">IF(D5&gt;0,(E5-D5)/D5,0)</f>
        <v>1.21872531440824</v>
      </c>
    </row>
    <row r="7" customFormat="false" ht="15" hidden="false" customHeight="true" outlineLevel="0" collapsed="false">
      <c r="A7" s="5" t="s">
        <v>8</v>
      </c>
      <c r="B7" s="6" t="n">
        <f aca="false">Projections!B36</f>
        <v>176575.667</v>
      </c>
      <c r="C7" s="6" t="n">
        <f aca="false">Projections!C36</f>
        <v>283811.4</v>
      </c>
      <c r="D7" s="6" t="n">
        <f aca="false">Projections!D36</f>
        <v>717777</v>
      </c>
      <c r="E7" s="6" t="n">
        <f aca="false">Projections!E36</f>
        <v>1610245</v>
      </c>
    </row>
    <row r="8" customFormat="false" ht="15" hidden="false" customHeight="true" outlineLevel="0" collapsed="false">
      <c r="A8" s="7" t="s">
        <v>9</v>
      </c>
      <c r="B8" s="8" t="n">
        <f aca="false">Projections!B37</f>
        <v>0.907</v>
      </c>
      <c r="C8" s="8" t="n">
        <f aca="false">Projections!C37</f>
        <v>0.9</v>
      </c>
      <c r="D8" s="8" t="n">
        <f aca="false">Projections!D37</f>
        <v>0.9</v>
      </c>
      <c r="E8" s="8" t="n">
        <f aca="false">Projections!E37</f>
        <v>0.91</v>
      </c>
    </row>
    <row r="9" customFormat="false" ht="15" hidden="false" customHeight="true" outlineLevel="0" collapsed="false">
      <c r="A9" s="5" t="s">
        <v>10</v>
      </c>
      <c r="B9" s="6" t="n">
        <f aca="false">Projections!B39</f>
        <v>80575.667</v>
      </c>
      <c r="C9" s="6" t="n">
        <f aca="false">Projections!C39</f>
        <v>-214188.6</v>
      </c>
      <c r="D9" s="6" t="n">
        <f aca="false">Projections!D39</f>
        <v>-60223</v>
      </c>
      <c r="E9" s="6" t="n">
        <f aca="false">Projections!E39</f>
        <v>590245</v>
      </c>
    </row>
    <row r="10" customFormat="false" ht="15" hidden="false" customHeight="true" outlineLevel="0" collapsed="false">
      <c r="A10" s="7" t="s">
        <v>11</v>
      </c>
      <c r="B10" s="8" t="n">
        <f aca="false">Projections!B40</f>
        <v>0.413885623147611</v>
      </c>
      <c r="C10" s="8" t="n">
        <f aca="false">Projections!C40</f>
        <v>-0.679217748124283</v>
      </c>
      <c r="D10" s="8" t="n">
        <f aca="false">Projections!D40</f>
        <v>-0.0755118929695435</v>
      </c>
      <c r="E10" s="8" t="n">
        <f aca="false">Projections!E40</f>
        <v>0.333565979090138</v>
      </c>
    </row>
    <row r="11" customFormat="false" ht="15" hidden="false" customHeight="true" outlineLevel="0" collapsed="false">
      <c r="A11" s="9" t="s">
        <v>12</v>
      </c>
      <c r="B11" s="10" t="n">
        <f aca="false">Projections!B44</f>
        <v>0</v>
      </c>
      <c r="C11" s="10" t="n">
        <f aca="false">Projections!C44</f>
        <v>-39506.940043119</v>
      </c>
      <c r="D11" s="10" t="n">
        <f aca="false">Projections!D44</f>
        <v>-63616.140043119</v>
      </c>
      <c r="E11" s="10" t="n">
        <f aca="false">Projections!E44</f>
        <v>-112214.640043119</v>
      </c>
    </row>
    <row r="12" customFormat="false" ht="15" hidden="false" customHeight="true" outlineLevel="0" collapsed="false">
      <c r="A12" s="11" t="s">
        <v>13</v>
      </c>
      <c r="B12" s="12" t="n">
        <f aca="false">Projections!B45</f>
        <v>80575.667</v>
      </c>
      <c r="C12" s="12" t="n">
        <f aca="false">Projections!C45</f>
        <v>-253695.540043119</v>
      </c>
      <c r="D12" s="12" t="n">
        <f aca="false">Projections!D45</f>
        <v>-123839.140043119</v>
      </c>
      <c r="E12" s="12" t="n">
        <f aca="false">Projections!E45</f>
        <v>478030.359956881</v>
      </c>
    </row>
    <row r="13" customFormat="false" ht="15" hidden="false" customHeight="true" outlineLevel="0" collapsed="false">
      <c r="A13" s="5" t="s">
        <v>14</v>
      </c>
      <c r="B13" s="6" t="n">
        <f aca="false">Projections!B48</f>
        <v>85575.667</v>
      </c>
      <c r="C13" s="6" t="n">
        <f aca="false">Projections!C48</f>
        <v>331880.126956881</v>
      </c>
      <c r="D13" s="6" t="n">
        <f aca="false">Projections!D48</f>
        <v>208040.986913762</v>
      </c>
      <c r="E13" s="6" t="n">
        <f aca="false">Projections!E48</f>
        <v>686071.346870643</v>
      </c>
    </row>
    <row r="15" customFormat="false" ht="15" hidden="false" customHeight="true" outlineLevel="0" collapsed="false">
      <c r="A15" s="9" t="s">
        <v>15</v>
      </c>
      <c r="B15" s="13" t="n">
        <f aca="false">Assumptions!B75</f>
        <v>132</v>
      </c>
      <c r="C15" s="13" t="n">
        <f aca="false">Assumptions!C75</f>
        <v>515</v>
      </c>
      <c r="D15" s="13" t="n">
        <f aca="false">Assumptions!D75</f>
        <v>1650</v>
      </c>
      <c r="E15" s="13" t="n">
        <f aca="false">Assumptions!E75</f>
        <v>3600</v>
      </c>
    </row>
    <row r="16" customFormat="false" ht="15" hidden="false" customHeight="true" outlineLevel="0" collapsed="false">
      <c r="A16" s="7" t="s">
        <v>16</v>
      </c>
      <c r="B16" s="14" t="n">
        <f aca="false">Assumptions!B76</f>
        <v>4</v>
      </c>
      <c r="C16" s="14" t="n">
        <f aca="false">Assumptions!C76</f>
        <v>6</v>
      </c>
      <c r="D16" s="14" t="n">
        <f aca="false">Assumptions!D76</f>
        <v>15</v>
      </c>
      <c r="E16" s="14" t="n">
        <f aca="false">Assumptions!E76</f>
        <v>33</v>
      </c>
    </row>
    <row r="17" customFormat="false" ht="15" hidden="false" customHeight="true" outlineLevel="0" collapsed="false">
      <c r="A17" s="9" t="s">
        <v>17</v>
      </c>
      <c r="B17" s="13" t="n">
        <f aca="false">Assumptions!B77</f>
        <v>10000</v>
      </c>
      <c r="C17" s="13" t="n">
        <f aca="false">Assumptions!C77</f>
        <v>25000</v>
      </c>
      <c r="D17" s="13" t="n">
        <f aca="false">Assumptions!D77</f>
        <v>60000</v>
      </c>
      <c r="E17" s="13" t="n">
        <f aca="false">Assumptions!E77</f>
        <v>120000</v>
      </c>
    </row>
    <row r="18" customFormat="false" ht="15" hidden="false" customHeight="true" outlineLevel="0" collapsed="false">
      <c r="A18" s="7" t="s">
        <v>18</v>
      </c>
      <c r="B18" s="15" t="n">
        <f aca="false">Assumptions!B82</f>
        <v>7.02430555555556</v>
      </c>
      <c r="C18" s="15" t="n">
        <f aca="false">Assumptions!C82</f>
        <v>3.09795905310301</v>
      </c>
      <c r="D18" s="15" t="n">
        <f aca="false">Assumptions!D82</f>
        <v>6.84456831831832</v>
      </c>
      <c r="E18" s="15" t="n">
        <f aca="false">Assumptions!E82</f>
        <v>11.5675750068814</v>
      </c>
    </row>
    <row r="20" customFormat="false" ht="15" hidden="false" customHeight="true" outlineLevel="0" collapsed="false">
      <c r="A20" s="11" t="s">
        <v>19</v>
      </c>
      <c r="B20" s="16" t="n">
        <f aca="false">'Valuation &amp; Exit'!B12</f>
        <v>1557448</v>
      </c>
      <c r="C20" s="16" t="n">
        <f aca="false">'Valuation &amp; Exit'!C12</f>
        <v>2522768</v>
      </c>
      <c r="D20" s="16" t="n">
        <f aca="false">'Valuation &amp; Exit'!D12</f>
        <v>6380240</v>
      </c>
      <c r="E20" s="16" t="n">
        <f aca="false">'Valuation &amp; Exit'!E12</f>
        <v>14156000</v>
      </c>
    </row>
    <row r="22" customFormat="false" ht="15" hidden="false" customHeight="true" outlineLevel="0" collapsed="false">
      <c r="A22" s="17" t="s">
        <v>20</v>
      </c>
      <c r="B22" s="18"/>
      <c r="C22" s="19" t="s">
        <v>21</v>
      </c>
      <c r="D22" s="19"/>
      <c r="E22" s="19"/>
    </row>
    <row r="23" customFormat="false" ht="15" hidden="false" customHeight="true" outlineLevel="0" collapsed="false">
      <c r="A23" s="20" t="s">
        <v>22</v>
      </c>
      <c r="B23" s="21" t="n">
        <v>250000</v>
      </c>
      <c r="C23" s="22" t="s">
        <v>23</v>
      </c>
      <c r="D23" s="22"/>
      <c r="E23" s="22"/>
    </row>
    <row r="24" customFormat="false" ht="15" hidden="false" customHeight="true" outlineLevel="0" collapsed="false">
      <c r="A24" s="20" t="s">
        <v>24</v>
      </c>
      <c r="B24" s="21" t="n">
        <v>150000</v>
      </c>
      <c r="C24" s="23" t="s">
        <v>25</v>
      </c>
      <c r="D24" s="23"/>
      <c r="E24" s="23"/>
    </row>
    <row r="25" customFormat="false" ht="15" hidden="false" customHeight="true" outlineLevel="0" collapsed="false">
      <c r="A25" s="20" t="s">
        <v>26</v>
      </c>
      <c r="B25" s="21" t="n">
        <v>100000</v>
      </c>
      <c r="C25" s="23" t="s">
        <v>27</v>
      </c>
      <c r="D25" s="23"/>
      <c r="E25" s="23"/>
    </row>
    <row r="26" customFormat="false" ht="15" hidden="false" customHeight="true" outlineLevel="0" collapsed="false">
      <c r="A26" s="24" t="s">
        <v>28</v>
      </c>
      <c r="B26" s="25" t="n">
        <f aca="false">B23+B24+B25</f>
        <v>500000</v>
      </c>
      <c r="C26" s="23" t="s">
        <v>29</v>
      </c>
      <c r="D26" s="23"/>
      <c r="E26" s="23"/>
    </row>
    <row r="28" customFormat="false" ht="15" hidden="false" customHeight="true" outlineLevel="0" collapsed="false">
      <c r="A28" s="20" t="s">
        <v>30</v>
      </c>
      <c r="B28" s="26" t="n">
        <v>0.05</v>
      </c>
      <c r="C28" s="23" t="s">
        <v>31</v>
      </c>
      <c r="D28" s="23"/>
      <c r="E28" s="23"/>
    </row>
    <row r="29" customFormat="false" ht="15" hidden="false" customHeight="true" outlineLevel="0" collapsed="false">
      <c r="A29" s="20" t="s">
        <v>32</v>
      </c>
      <c r="B29" s="27" t="n">
        <v>1.5</v>
      </c>
      <c r="C29" s="23" t="s">
        <v>33</v>
      </c>
      <c r="D29" s="23"/>
      <c r="E29" s="23"/>
    </row>
    <row r="30" customFormat="false" ht="15" hidden="false" customHeight="true" outlineLevel="0" collapsed="false">
      <c r="A30" s="20" t="s">
        <v>34</v>
      </c>
      <c r="B30" s="26" t="n">
        <v>0.06</v>
      </c>
      <c r="C30" s="23" t="s">
        <v>35</v>
      </c>
      <c r="D30" s="23"/>
      <c r="E30" s="23"/>
    </row>
    <row r="31" customFormat="false" ht="15" hidden="false" customHeight="true" outlineLevel="0" collapsed="false">
      <c r="A31" s="20" t="s">
        <v>36</v>
      </c>
      <c r="B31" s="28" t="n">
        <v>5</v>
      </c>
      <c r="C31" s="23" t="s">
        <v>37</v>
      </c>
      <c r="D31" s="23"/>
      <c r="E31" s="23"/>
    </row>
    <row r="32" customFormat="false" ht="15" hidden="false" customHeight="true" outlineLevel="0" collapsed="false">
      <c r="A32" s="20" t="s">
        <v>38</v>
      </c>
      <c r="B32" s="29" t="n">
        <v>5000000</v>
      </c>
      <c r="C32" s="23" t="s">
        <v>39</v>
      </c>
      <c r="D32" s="23"/>
      <c r="E32" s="23"/>
    </row>
    <row r="34" customFormat="false" ht="15" hidden="false" customHeight="true" outlineLevel="0" collapsed="false">
      <c r="A34" s="20" t="s">
        <v>40</v>
      </c>
      <c r="B34" s="30" t="n">
        <f aca="false">IF(B32&gt;0,B23/B32,0)</f>
        <v>0.05</v>
      </c>
    </row>
    <row r="35" customFormat="false" ht="15" hidden="false" customHeight="true" outlineLevel="0" collapsed="false">
      <c r="A35" s="20" t="s">
        <v>41</v>
      </c>
      <c r="B35" s="31" t="n">
        <f aca="false">B24*B29</f>
        <v>225000</v>
      </c>
    </row>
    <row r="36" customFormat="false" ht="15" hidden="false" customHeight="true" outlineLevel="0" collapsed="false">
      <c r="A36" s="20" t="s">
        <v>42</v>
      </c>
      <c r="B36" s="31" t="n">
        <f aca="false">PMT(B30,B31,-B25)</f>
        <v>23739.640043119</v>
      </c>
    </row>
    <row r="37" customFormat="false" ht="15" hidden="false" customHeight="true" outlineLevel="0" collapsed="false">
      <c r="A37" s="24" t="s">
        <v>43</v>
      </c>
      <c r="B37" s="25" t="n">
        <f aca="false">Projections!C44</f>
        <v>-39506.940043119</v>
      </c>
    </row>
    <row r="38" customFormat="false" ht="15" hidden="false" customHeight="true" outlineLevel="0" collapsed="false">
      <c r="A38" s="24" t="s">
        <v>44</v>
      </c>
      <c r="B38" s="32" t="n">
        <f aca="false">1-B34</f>
        <v>0.95</v>
      </c>
    </row>
    <row r="40" customFormat="false" ht="15" hidden="false" customHeight="true" outlineLevel="0" collapsed="false">
      <c r="A40" s="17" t="s">
        <v>45</v>
      </c>
      <c r="B40" s="18"/>
      <c r="C40" s="18"/>
      <c r="D40" s="18"/>
      <c r="E40" s="18"/>
    </row>
    <row r="41" customFormat="false" ht="31.5" hidden="false" customHeight="true" outlineLevel="0" collapsed="false">
      <c r="A41" s="33" t="s">
        <v>46</v>
      </c>
      <c r="B41" s="34" t="s">
        <v>47</v>
      </c>
      <c r="C41" s="34"/>
      <c r="D41" s="34"/>
      <c r="E41" s="34"/>
    </row>
    <row r="42" customFormat="false" ht="31.5" hidden="false" customHeight="true" outlineLevel="0" collapsed="false">
      <c r="A42" s="35" t="s">
        <v>48</v>
      </c>
      <c r="B42" s="36" t="s">
        <v>49</v>
      </c>
      <c r="C42" s="36"/>
      <c r="D42" s="36"/>
      <c r="E42" s="36"/>
    </row>
    <row r="43" customFormat="false" ht="31.5" hidden="false" customHeight="true" outlineLevel="0" collapsed="false">
      <c r="A43" s="35" t="s">
        <v>50</v>
      </c>
      <c r="B43" s="36" t="s">
        <v>51</v>
      </c>
      <c r="C43" s="36"/>
      <c r="D43" s="36"/>
      <c r="E43" s="36"/>
    </row>
    <row r="44" customFormat="false" ht="31.5" hidden="false" customHeight="true" outlineLevel="0" collapsed="false">
      <c r="A44" s="35" t="s">
        <v>52</v>
      </c>
      <c r="B44" s="36" t="s">
        <v>53</v>
      </c>
      <c r="C44" s="36"/>
      <c r="D44" s="36"/>
      <c r="E44" s="36"/>
    </row>
    <row r="45" customFormat="false" ht="31.5" hidden="false" customHeight="true" outlineLevel="0" collapsed="false">
      <c r="A45" s="35" t="s">
        <v>54</v>
      </c>
      <c r="B45" s="36" t="s">
        <v>55</v>
      </c>
      <c r="C45" s="36"/>
      <c r="D45" s="36"/>
      <c r="E45" s="36"/>
    </row>
    <row r="46" customFormat="false" ht="31.5" hidden="false" customHeight="true" outlineLevel="0" collapsed="false">
      <c r="A46" s="35" t="s">
        <v>56</v>
      </c>
      <c r="B46" s="36" t="s">
        <v>57</v>
      </c>
      <c r="C46" s="36"/>
      <c r="D46" s="36"/>
      <c r="E46" s="36"/>
    </row>
    <row r="47" customFormat="false" ht="31.5" hidden="false" customHeight="true" outlineLevel="0" collapsed="false">
      <c r="A47" s="35" t="s">
        <v>58</v>
      </c>
      <c r="B47" s="36" t="s">
        <v>59</v>
      </c>
      <c r="C47" s="36"/>
      <c r="D47" s="36"/>
      <c r="E47" s="36"/>
    </row>
    <row r="49" customFormat="false" ht="36" hidden="false" customHeight="true" outlineLevel="0" collapsed="false">
      <c r="A49" s="37" t="s">
        <v>60</v>
      </c>
      <c r="B49" s="38" t="s">
        <v>61</v>
      </c>
      <c r="C49" s="38"/>
      <c r="D49" s="38"/>
      <c r="E49" s="38"/>
    </row>
  </sheetData>
  <mergeCells count="18">
    <mergeCell ref="C22:E22"/>
    <mergeCell ref="C23:E23"/>
    <mergeCell ref="C24:E24"/>
    <mergeCell ref="C25:E25"/>
    <mergeCell ref="C26:E26"/>
    <mergeCell ref="C28:E28"/>
    <mergeCell ref="C29:E29"/>
    <mergeCell ref="C30:E30"/>
    <mergeCell ref="C31:E31"/>
    <mergeCell ref="C32:E32"/>
    <mergeCell ref="B41:E41"/>
    <mergeCell ref="B42:E42"/>
    <mergeCell ref="B43:E43"/>
    <mergeCell ref="B44:E44"/>
    <mergeCell ref="B45:E45"/>
    <mergeCell ref="B46:E46"/>
    <mergeCell ref="B47:E47"/>
    <mergeCell ref="B49:E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7028"/>
    <outlinePr summaryBelow="0"/>
    <pageSetUpPr fitToPage="false"/>
  </sheetPr>
  <dimension ref="A1:F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1" outlineLevelCol="0"/>
  <cols>
    <col collapsed="false" customWidth="true" hidden="false" outlineLevel="0" max="1" min="1" style="1" width="42"/>
    <col collapsed="false" customWidth="true" hidden="false" outlineLevel="0" max="5" min="2" style="1" width="18"/>
    <col collapsed="false" customWidth="true" hidden="false" outlineLevel="0" max="6" min="6" style="1" width="32"/>
  </cols>
  <sheetData>
    <row r="1" customFormat="false" ht="19.5" hidden="false" customHeight="true" outlineLevel="0" collapsed="false">
      <c r="A1" s="2" t="s">
        <v>62</v>
      </c>
    </row>
    <row r="2" customFormat="false" ht="15.75" hidden="false" customHeight="true" outlineLevel="0" collapsed="false">
      <c r="A2" s="39" t="s">
        <v>63</v>
      </c>
    </row>
    <row r="3" customFormat="false" ht="15" hidden="false" customHeight="true" outlineLevel="0" collapsed="false">
      <c r="A3" s="40" t="s">
        <v>64</v>
      </c>
    </row>
    <row r="5" customFormat="false" ht="15" hidden="false" customHeight="true" outlineLevel="0" collapsed="false">
      <c r="A5" s="4"/>
      <c r="B5" s="4" t="s">
        <v>65</v>
      </c>
      <c r="C5" s="4" t="s">
        <v>66</v>
      </c>
      <c r="D5" s="4" t="s">
        <v>67</v>
      </c>
      <c r="E5" s="4" t="s">
        <v>68</v>
      </c>
      <c r="F5" s="4" t="s">
        <v>69</v>
      </c>
    </row>
    <row r="6" customFormat="false" ht="15" hidden="false" customHeight="true" outlineLevel="0" collapsed="false">
      <c r="A6" s="17" t="s">
        <v>70</v>
      </c>
      <c r="B6" s="18"/>
      <c r="C6" s="18"/>
      <c r="D6" s="18"/>
      <c r="E6" s="18"/>
      <c r="F6" s="18"/>
    </row>
    <row r="7" customFormat="false" ht="15" hidden="false" customHeight="true" outlineLevel="0" collapsed="false">
      <c r="A7" s="5" t="s">
        <v>71</v>
      </c>
      <c r="B7" s="41" t="n">
        <f aca="false">SUM(B9,B11,B13,B15)</f>
        <v>18230</v>
      </c>
      <c r="C7" s="41" t="n">
        <f aca="false">SUM(C9,C11,C13,C15)</f>
        <v>59346</v>
      </c>
      <c r="D7" s="41" t="n">
        <f aca="false">SUM(D9,D11,D13,D15)</f>
        <v>205530</v>
      </c>
      <c r="E7" s="41" t="n">
        <f aca="false">SUM(E9,E11,E13,E15)</f>
        <v>502500</v>
      </c>
      <c r="F7" s="41" t="s">
        <v>72</v>
      </c>
    </row>
    <row r="8" customFormat="false" ht="15" hidden="false" customHeight="true" outlineLevel="1" collapsed="false">
      <c r="A8" s="42" t="s">
        <v>73</v>
      </c>
      <c r="B8" s="43" t="n">
        <v>13</v>
      </c>
      <c r="C8" s="43" t="n">
        <v>15</v>
      </c>
      <c r="D8" s="43" t="n">
        <v>0</v>
      </c>
      <c r="E8" s="43" t="n">
        <v>0</v>
      </c>
      <c r="F8" s="43" t="s">
        <v>74</v>
      </c>
    </row>
    <row r="9" customFormat="false" ht="15" hidden="false" customHeight="true" outlineLevel="1" collapsed="false">
      <c r="A9" s="44" t="s">
        <v>75</v>
      </c>
      <c r="B9" s="45" t="n">
        <v>1100</v>
      </c>
      <c r="C9" s="45" t="n">
        <f aca="false">(B8+C8)/2*7*12</f>
        <v>1176</v>
      </c>
      <c r="D9" s="45" t="n">
        <f aca="false">(C8+D8)/2*7*12</f>
        <v>630</v>
      </c>
      <c r="E9" s="45" t="n">
        <f aca="false">(D8+E8)/2*7*12</f>
        <v>0</v>
      </c>
      <c r="F9" s="45"/>
    </row>
    <row r="10" customFormat="false" ht="15" hidden="false" customHeight="true" outlineLevel="1" collapsed="false">
      <c r="A10" s="42" t="s">
        <v>76</v>
      </c>
      <c r="B10" s="43" t="n">
        <v>4</v>
      </c>
      <c r="C10" s="43" t="n">
        <v>40</v>
      </c>
      <c r="D10" s="43" t="n">
        <v>200</v>
      </c>
      <c r="E10" s="43" t="n">
        <v>500</v>
      </c>
      <c r="F10" s="43" t="s">
        <v>77</v>
      </c>
    </row>
    <row r="11" customFormat="false" ht="15" hidden="false" customHeight="true" outlineLevel="1" collapsed="false">
      <c r="A11" s="44" t="s">
        <v>78</v>
      </c>
      <c r="B11" s="45" t="n">
        <v>400</v>
      </c>
      <c r="C11" s="45" t="n">
        <f aca="false">(B10+C10)/2*10*12</f>
        <v>2640</v>
      </c>
      <c r="D11" s="45" t="n">
        <f aca="false">(C10+D10)/2*10*12</f>
        <v>14400</v>
      </c>
      <c r="E11" s="45" t="n">
        <f aca="false">(D10+E10)/2*10*12</f>
        <v>42000</v>
      </c>
      <c r="F11" s="45"/>
    </row>
    <row r="12" customFormat="false" ht="15" hidden="false" customHeight="true" outlineLevel="1" collapsed="false">
      <c r="A12" s="42" t="s">
        <v>79</v>
      </c>
      <c r="B12" s="43" t="n">
        <v>112</v>
      </c>
      <c r="C12" s="43" t="n">
        <v>400</v>
      </c>
      <c r="D12" s="43" t="n">
        <v>1200</v>
      </c>
      <c r="E12" s="43" t="n">
        <v>2500</v>
      </c>
      <c r="F12" s="43" t="s">
        <v>80</v>
      </c>
    </row>
    <row r="13" customFormat="false" ht="15" hidden="false" customHeight="true" outlineLevel="1" collapsed="false">
      <c r="A13" s="44" t="s">
        <v>81</v>
      </c>
      <c r="B13" s="45" t="n">
        <v>15830</v>
      </c>
      <c r="C13" s="45" t="n">
        <f aca="false">(B12+C12)/2*15*12</f>
        <v>46080</v>
      </c>
      <c r="D13" s="45" t="n">
        <f aca="false">(C12+D12)/2*15*12</f>
        <v>144000</v>
      </c>
      <c r="E13" s="45" t="n">
        <f aca="false">(D12+E12)/2*15*12</f>
        <v>333000</v>
      </c>
      <c r="F13" s="45"/>
    </row>
    <row r="14" customFormat="false" ht="15" hidden="false" customHeight="true" outlineLevel="1" collapsed="false">
      <c r="A14" s="42" t="s">
        <v>82</v>
      </c>
      <c r="B14" s="43" t="n">
        <v>3</v>
      </c>
      <c r="C14" s="43" t="n">
        <v>60</v>
      </c>
      <c r="D14" s="43" t="n">
        <v>250</v>
      </c>
      <c r="E14" s="43" t="n">
        <v>600</v>
      </c>
      <c r="F14" s="43" t="s">
        <v>83</v>
      </c>
    </row>
    <row r="15" customFormat="false" ht="15" hidden="false" customHeight="true" outlineLevel="1" collapsed="false">
      <c r="A15" s="44" t="s">
        <v>84</v>
      </c>
      <c r="B15" s="45" t="n">
        <v>900</v>
      </c>
      <c r="C15" s="45" t="n">
        <f aca="false">(B14+C14)/2*25*12</f>
        <v>9450</v>
      </c>
      <c r="D15" s="45" t="n">
        <f aca="false">(C14+D14)/2*25*12</f>
        <v>46500</v>
      </c>
      <c r="E15" s="45" t="n">
        <f aca="false">(D14+E14)/2*25*12</f>
        <v>127500</v>
      </c>
      <c r="F15" s="45"/>
    </row>
    <row r="17" customFormat="false" ht="15" hidden="false" customHeight="true" outlineLevel="0" collapsed="false">
      <c r="A17" s="5" t="s">
        <v>85</v>
      </c>
      <c r="B17" s="41" t="n">
        <f aca="false">SUM(B19,B21,B23,B24)</f>
        <v>2000</v>
      </c>
      <c r="C17" s="41" t="n">
        <f aca="false">SUM(C19,C21,C23,C24)</f>
        <v>79000</v>
      </c>
      <c r="D17" s="41" t="n">
        <f aca="false">SUM(D19,D21,D23,D24)</f>
        <v>177000</v>
      </c>
      <c r="E17" s="41" t="n">
        <f aca="false">SUM(E19,E21,E23,E24)</f>
        <v>420000</v>
      </c>
      <c r="F17" s="41" t="s">
        <v>86</v>
      </c>
    </row>
    <row r="18" customFormat="false" ht="15" hidden="false" customHeight="true" outlineLevel="1" collapsed="false">
      <c r="A18" s="42" t="s">
        <v>87</v>
      </c>
      <c r="B18" s="43" t="n">
        <v>2</v>
      </c>
      <c r="C18" s="43" t="n">
        <v>1</v>
      </c>
      <c r="D18" s="43" t="n">
        <v>0</v>
      </c>
      <c r="E18" s="43" t="n">
        <v>0</v>
      </c>
      <c r="F18" s="43" t="s">
        <v>88</v>
      </c>
    </row>
    <row r="19" customFormat="false" ht="15" hidden="false" customHeight="true" outlineLevel="1" collapsed="false">
      <c r="A19" s="44" t="s">
        <v>75</v>
      </c>
      <c r="B19" s="45" t="n">
        <v>1000</v>
      </c>
      <c r="C19" s="45" t="n">
        <f aca="false">(B18+C18)/2*500*12</f>
        <v>9000</v>
      </c>
      <c r="D19" s="45" t="n">
        <f aca="false">(C18+D18)/2*500*12</f>
        <v>3000</v>
      </c>
      <c r="E19" s="45" t="n">
        <f aca="false">(D18+E18)/2*500*12</f>
        <v>0</v>
      </c>
      <c r="F19" s="45"/>
    </row>
    <row r="20" customFormat="false" ht="15" hidden="false" customHeight="true" outlineLevel="1" collapsed="false">
      <c r="A20" s="42" t="s">
        <v>89</v>
      </c>
      <c r="B20" s="43" t="n">
        <v>1</v>
      </c>
      <c r="C20" s="43" t="n">
        <v>3</v>
      </c>
      <c r="D20" s="43" t="n">
        <v>8</v>
      </c>
      <c r="E20" s="43" t="n">
        <v>18</v>
      </c>
      <c r="F20" s="43" t="s">
        <v>90</v>
      </c>
    </row>
    <row r="21" customFormat="false" ht="15" hidden="false" customHeight="true" outlineLevel="1" collapsed="false">
      <c r="A21" s="44" t="s">
        <v>91</v>
      </c>
      <c r="B21" s="45" t="n">
        <v>500</v>
      </c>
      <c r="C21" s="45" t="n">
        <f aca="false">(B20+C20)/2*1000*12</f>
        <v>24000</v>
      </c>
      <c r="D21" s="45" t="n">
        <f aca="false">(C20+D20)/2*1000*12</f>
        <v>66000</v>
      </c>
      <c r="E21" s="45" t="n">
        <f aca="false">(D20+E20)/2*1000*12</f>
        <v>156000</v>
      </c>
      <c r="F21" s="45"/>
    </row>
    <row r="22" customFormat="false" ht="15" hidden="false" customHeight="true" outlineLevel="1" collapsed="false">
      <c r="A22" s="42" t="s">
        <v>92</v>
      </c>
      <c r="B22" s="43" t="n">
        <v>1</v>
      </c>
      <c r="C22" s="43" t="n">
        <v>2</v>
      </c>
      <c r="D22" s="43" t="n">
        <v>7</v>
      </c>
      <c r="E22" s="43" t="n">
        <v>15</v>
      </c>
      <c r="F22" s="43" t="s">
        <v>93</v>
      </c>
    </row>
    <row r="23" customFormat="false" ht="15" hidden="false" customHeight="true" outlineLevel="1" collapsed="false">
      <c r="A23" s="44" t="s">
        <v>94</v>
      </c>
      <c r="B23" s="45" t="n">
        <v>500</v>
      </c>
      <c r="C23" s="45" t="n">
        <f aca="false">(B22+C22)/2*2000*12</f>
        <v>36000</v>
      </c>
      <c r="D23" s="45" t="n">
        <f aca="false">(C22+D22)/2*2000*12</f>
        <v>108000</v>
      </c>
      <c r="E23" s="45" t="n">
        <f aca="false">(D22+E22)/2*2000*12</f>
        <v>264000</v>
      </c>
      <c r="F23" s="45"/>
    </row>
    <row r="24" customFormat="false" ht="15" hidden="false" customHeight="true" outlineLevel="1" collapsed="false">
      <c r="A24" s="42" t="s">
        <v>95</v>
      </c>
      <c r="B24" s="46" t="n">
        <v>0</v>
      </c>
      <c r="C24" s="46" t="n">
        <v>10000</v>
      </c>
      <c r="D24" s="46" t="n">
        <v>0</v>
      </c>
      <c r="E24" s="46" t="n">
        <v>0</v>
      </c>
      <c r="F24" s="46" t="s">
        <v>96</v>
      </c>
    </row>
    <row r="25" customFormat="false" ht="15" hidden="false" customHeight="true" outlineLevel="0" collapsed="false">
      <c r="A25" s="5" t="s">
        <v>97</v>
      </c>
      <c r="B25" s="41" t="n">
        <v>70640</v>
      </c>
      <c r="C25" s="41" t="n">
        <f aca="false">SUM(C26:C32)</f>
        <v>87000</v>
      </c>
      <c r="D25" s="41" t="n">
        <f aca="false">SUM(D26:D32)</f>
        <v>140000</v>
      </c>
      <c r="E25" s="41" t="n">
        <f aca="false">SUM(E26:E32)</f>
        <v>212000</v>
      </c>
      <c r="F25" s="41" t="s">
        <v>98</v>
      </c>
    </row>
    <row r="26" customFormat="false" ht="15" hidden="false" customHeight="true" outlineLevel="1" collapsed="false">
      <c r="A26" s="42" t="s">
        <v>99</v>
      </c>
      <c r="B26" s="46" t="n">
        <v>0</v>
      </c>
      <c r="C26" s="46" t="n">
        <v>17000</v>
      </c>
      <c r="D26" s="46" t="n">
        <v>25000</v>
      </c>
      <c r="E26" s="46" t="n">
        <v>35000</v>
      </c>
      <c r="F26" s="46" t="s">
        <v>100</v>
      </c>
    </row>
    <row r="27" customFormat="false" ht="15" hidden="false" customHeight="true" outlineLevel="1" collapsed="false">
      <c r="A27" s="44" t="s">
        <v>101</v>
      </c>
      <c r="B27" s="47" t="n">
        <v>0</v>
      </c>
      <c r="C27" s="47" t="n">
        <v>5000</v>
      </c>
      <c r="D27" s="47" t="n">
        <v>8000</v>
      </c>
      <c r="E27" s="47" t="n">
        <v>12000</v>
      </c>
      <c r="F27" s="47" t="s">
        <v>102</v>
      </c>
    </row>
    <row r="28" customFormat="false" ht="15" hidden="false" customHeight="true" outlineLevel="1" collapsed="false">
      <c r="A28" s="42" t="s">
        <v>103</v>
      </c>
      <c r="B28" s="46" t="n">
        <v>0</v>
      </c>
      <c r="C28" s="46" t="n">
        <v>10000</v>
      </c>
      <c r="D28" s="46" t="n">
        <v>16000</v>
      </c>
      <c r="E28" s="46" t="n">
        <v>24000</v>
      </c>
      <c r="F28" s="46"/>
    </row>
    <row r="29" customFormat="false" ht="15" hidden="false" customHeight="true" outlineLevel="1" collapsed="false">
      <c r="A29" s="44" t="s">
        <v>104</v>
      </c>
      <c r="B29" s="47" t="n">
        <v>0</v>
      </c>
      <c r="C29" s="47" t="n">
        <v>14000</v>
      </c>
      <c r="D29" s="47" t="n">
        <v>22000</v>
      </c>
      <c r="E29" s="47" t="n">
        <v>32000</v>
      </c>
      <c r="F29" s="47"/>
    </row>
    <row r="30" customFormat="false" ht="15" hidden="false" customHeight="true" outlineLevel="1" collapsed="false">
      <c r="A30" s="42" t="s">
        <v>105</v>
      </c>
      <c r="B30" s="46" t="n">
        <v>0</v>
      </c>
      <c r="C30" s="46" t="n">
        <v>10000</v>
      </c>
      <c r="D30" s="46" t="n">
        <v>16000</v>
      </c>
      <c r="E30" s="46" t="n">
        <v>24000</v>
      </c>
      <c r="F30" s="46"/>
    </row>
    <row r="31" customFormat="false" ht="15" hidden="false" customHeight="true" outlineLevel="1" collapsed="false">
      <c r="A31" s="44" t="s">
        <v>106</v>
      </c>
      <c r="B31" s="47" t="n">
        <v>0</v>
      </c>
      <c r="C31" s="47" t="n">
        <v>21000</v>
      </c>
      <c r="D31" s="47" t="n">
        <v>33000</v>
      </c>
      <c r="E31" s="47" t="n">
        <v>50000</v>
      </c>
      <c r="F31" s="47" t="s">
        <v>107</v>
      </c>
    </row>
    <row r="32" customFormat="false" ht="15" hidden="false" customHeight="true" outlineLevel="1" collapsed="false">
      <c r="A32" s="42" t="s">
        <v>108</v>
      </c>
      <c r="B32" s="46" t="n">
        <v>0</v>
      </c>
      <c r="C32" s="46" t="n">
        <v>10000</v>
      </c>
      <c r="D32" s="46" t="n">
        <v>20000</v>
      </c>
      <c r="E32" s="46" t="n">
        <v>35000</v>
      </c>
      <c r="F32" s="46" t="s">
        <v>109</v>
      </c>
    </row>
    <row r="34" customFormat="false" ht="15" hidden="false" customHeight="true" outlineLevel="0" collapsed="false">
      <c r="A34" s="11" t="s">
        <v>110</v>
      </c>
      <c r="B34" s="48" t="n">
        <f aca="false">SUM(B35:B39)</f>
        <v>18250</v>
      </c>
      <c r="C34" s="48" t="n">
        <f aca="false">SUM(C35:C39)</f>
        <v>50000</v>
      </c>
      <c r="D34" s="48" t="n">
        <f aca="false">SUM(D35:D39)</f>
        <v>255000</v>
      </c>
      <c r="E34" s="48" t="n">
        <f aca="false">SUM(E35:E39)</f>
        <v>635000</v>
      </c>
      <c r="F34" s="48" t="s">
        <v>111</v>
      </c>
    </row>
    <row r="35" customFormat="false" ht="15" hidden="false" customHeight="true" outlineLevel="1" collapsed="false">
      <c r="A35" s="44" t="s">
        <v>112</v>
      </c>
      <c r="B35" s="47" t="n">
        <v>0</v>
      </c>
      <c r="C35" s="47" t="n">
        <v>30000</v>
      </c>
      <c r="D35" s="47" t="n">
        <v>100000</v>
      </c>
      <c r="E35" s="47" t="n">
        <v>200000</v>
      </c>
      <c r="F35" s="47" t="s">
        <v>113</v>
      </c>
    </row>
    <row r="36" customFormat="false" ht="15" hidden="false" customHeight="true" outlineLevel="1" collapsed="false">
      <c r="A36" s="42" t="s">
        <v>114</v>
      </c>
      <c r="B36" s="46" t="n">
        <v>0</v>
      </c>
      <c r="C36" s="46" t="n">
        <v>10000</v>
      </c>
      <c r="D36" s="46" t="n">
        <v>30000</v>
      </c>
      <c r="E36" s="46" t="n">
        <v>60000</v>
      </c>
      <c r="F36" s="46" t="s">
        <v>115</v>
      </c>
    </row>
    <row r="37" customFormat="false" ht="15" hidden="false" customHeight="true" outlineLevel="1" collapsed="false">
      <c r="A37" s="44" t="s">
        <v>116</v>
      </c>
      <c r="B37" s="47" t="n">
        <v>0</v>
      </c>
      <c r="C37" s="47" t="n">
        <v>10000</v>
      </c>
      <c r="D37" s="47" t="n">
        <v>50000</v>
      </c>
      <c r="E37" s="47" t="n">
        <v>150000</v>
      </c>
      <c r="F37" s="47" t="s">
        <v>117</v>
      </c>
    </row>
    <row r="38" customFormat="false" ht="15" hidden="false" customHeight="true" outlineLevel="1" collapsed="false">
      <c r="A38" s="42" t="s">
        <v>118</v>
      </c>
      <c r="B38" s="46" t="n">
        <v>0</v>
      </c>
      <c r="C38" s="46" t="n">
        <v>0</v>
      </c>
      <c r="D38" s="46" t="n">
        <v>75000</v>
      </c>
      <c r="E38" s="46" t="n">
        <v>225000</v>
      </c>
      <c r="F38" s="46" t="s">
        <v>119</v>
      </c>
    </row>
    <row r="39" customFormat="false" ht="15" hidden="false" customHeight="true" outlineLevel="0" collapsed="false">
      <c r="A39" s="44" t="s">
        <v>120</v>
      </c>
      <c r="B39" s="47" t="n">
        <v>18250</v>
      </c>
      <c r="C39" s="47" t="n">
        <v>0</v>
      </c>
      <c r="D39" s="47" t="n">
        <v>0</v>
      </c>
      <c r="E39" s="47" t="n">
        <v>0</v>
      </c>
      <c r="F39" s="47" t="s">
        <v>121</v>
      </c>
    </row>
    <row r="40" customFormat="false" ht="15" hidden="false" customHeight="true" outlineLevel="0" collapsed="false">
      <c r="A40" s="7" t="s">
        <v>122</v>
      </c>
      <c r="B40" s="49" t="n">
        <v>37156</v>
      </c>
      <c r="C40" s="49" t="n">
        <v>40000</v>
      </c>
      <c r="D40" s="49" t="n">
        <v>20000</v>
      </c>
      <c r="E40" s="49" t="n">
        <v>0</v>
      </c>
      <c r="F40" s="49" t="s">
        <v>123</v>
      </c>
    </row>
    <row r="41" customFormat="false" ht="15" hidden="false" customHeight="true" outlineLevel="0" collapsed="false">
      <c r="A41" s="9" t="s">
        <v>124</v>
      </c>
      <c r="B41" s="50" t="n">
        <v>48405</v>
      </c>
      <c r="C41" s="50" t="n">
        <v>0</v>
      </c>
      <c r="D41" s="50" t="n">
        <v>0</v>
      </c>
      <c r="E41" s="50" t="n">
        <v>0</v>
      </c>
      <c r="F41" s="50" t="s">
        <v>125</v>
      </c>
    </row>
    <row r="43" customFormat="false" ht="15" hidden="false" customHeight="true" outlineLevel="0" collapsed="false">
      <c r="A43" s="17" t="s">
        <v>126</v>
      </c>
      <c r="B43" s="18"/>
      <c r="C43" s="18"/>
      <c r="D43" s="18"/>
      <c r="E43" s="18"/>
      <c r="F43" s="18"/>
    </row>
    <row r="44" customFormat="false" ht="15" hidden="false" customHeight="true" outlineLevel="0" collapsed="false">
      <c r="A44" s="7" t="s">
        <v>127</v>
      </c>
      <c r="B44" s="51" t="n">
        <v>0.093</v>
      </c>
      <c r="C44" s="51" t="n">
        <v>0.1</v>
      </c>
      <c r="D44" s="51" t="n">
        <v>0.1</v>
      </c>
      <c r="E44" s="51" t="n">
        <v>0.09</v>
      </c>
      <c r="F44" s="51" t="s">
        <v>128</v>
      </c>
    </row>
    <row r="46" customFormat="false" ht="15" hidden="false" customHeight="true" outlineLevel="0" collapsed="false">
      <c r="A46" s="17" t="s">
        <v>129</v>
      </c>
      <c r="B46" s="18"/>
      <c r="C46" s="18"/>
      <c r="D46" s="18"/>
      <c r="E46" s="18"/>
      <c r="F46" s="18"/>
    </row>
    <row r="47" customFormat="false" ht="15" hidden="false" customHeight="true" outlineLevel="0" collapsed="false">
      <c r="A47" s="5" t="s">
        <v>130</v>
      </c>
      <c r="B47" s="41" t="n">
        <f aca="false">SUM(B48:B53)</f>
        <v>17000</v>
      </c>
      <c r="C47" s="41" t="n">
        <f aca="false">SUM(C48:C53)</f>
        <v>180000</v>
      </c>
      <c r="D47" s="41" t="n">
        <f aca="false">SUM(D48:D53)</f>
        <v>340000</v>
      </c>
      <c r="E47" s="41" t="n">
        <f aca="false">SUM(E48:E53)</f>
        <v>480000</v>
      </c>
      <c r="F47" s="41" t="s">
        <v>131</v>
      </c>
    </row>
    <row r="48" customFormat="false" ht="15" hidden="false" customHeight="true" outlineLevel="1" collapsed="false">
      <c r="A48" s="42" t="s">
        <v>132</v>
      </c>
      <c r="B48" s="46" t="n">
        <v>7911</v>
      </c>
      <c r="C48" s="46" t="n">
        <v>60000</v>
      </c>
      <c r="D48" s="46" t="n">
        <v>75000</v>
      </c>
      <c r="E48" s="46" t="n">
        <v>90000</v>
      </c>
      <c r="F48" s="46" t="s">
        <v>133</v>
      </c>
    </row>
    <row r="49" customFormat="false" ht="15" hidden="false" customHeight="true" outlineLevel="1" collapsed="false">
      <c r="A49" s="44" t="s">
        <v>134</v>
      </c>
      <c r="B49" s="47" t="n">
        <v>0</v>
      </c>
      <c r="C49" s="47" t="n">
        <v>65000</v>
      </c>
      <c r="D49" s="47" t="n">
        <v>80000</v>
      </c>
      <c r="E49" s="47" t="n">
        <v>95000</v>
      </c>
      <c r="F49" s="47" t="s">
        <v>135</v>
      </c>
    </row>
    <row r="50" customFormat="false" ht="15" hidden="false" customHeight="true" outlineLevel="1" collapsed="false">
      <c r="A50" s="42" t="s">
        <v>136</v>
      </c>
      <c r="B50" s="46" t="n">
        <v>0</v>
      </c>
      <c r="C50" s="46" t="n">
        <v>45000</v>
      </c>
      <c r="D50" s="46" t="n">
        <v>60000</v>
      </c>
      <c r="E50" s="46" t="n">
        <v>75000</v>
      </c>
      <c r="F50" s="46" t="s">
        <v>137</v>
      </c>
    </row>
    <row r="51" customFormat="false" ht="15" hidden="false" customHeight="true" outlineLevel="1" collapsed="false">
      <c r="A51" s="44" t="s">
        <v>138</v>
      </c>
      <c r="B51" s="47" t="n">
        <v>0</v>
      </c>
      <c r="C51" s="47" t="n">
        <v>0</v>
      </c>
      <c r="D51" s="47" t="n">
        <v>50000</v>
      </c>
      <c r="E51" s="47" t="n">
        <v>60000</v>
      </c>
      <c r="F51" s="47" t="s">
        <v>139</v>
      </c>
    </row>
    <row r="52" customFormat="false" ht="15" hidden="false" customHeight="true" outlineLevel="1" collapsed="false">
      <c r="A52" s="42" t="s">
        <v>140</v>
      </c>
      <c r="B52" s="46" t="n">
        <v>0</v>
      </c>
      <c r="C52" s="46" t="n">
        <v>0</v>
      </c>
      <c r="D52" s="46" t="n">
        <v>0</v>
      </c>
      <c r="E52" s="46" t="n">
        <v>50000</v>
      </c>
      <c r="F52" s="46" t="s">
        <v>141</v>
      </c>
    </row>
    <row r="53" customFormat="false" ht="15" hidden="false" customHeight="true" outlineLevel="1" collapsed="false">
      <c r="A53" s="44" t="s">
        <v>142</v>
      </c>
      <c r="B53" s="47" t="n">
        <v>9089</v>
      </c>
      <c r="C53" s="47" t="n">
        <v>10000</v>
      </c>
      <c r="D53" s="47" t="n">
        <v>75000</v>
      </c>
      <c r="E53" s="47" t="n">
        <v>110000</v>
      </c>
      <c r="F53" s="47" t="s">
        <v>143</v>
      </c>
    </row>
    <row r="54" customFormat="false" ht="15" hidden="false" customHeight="true" outlineLevel="0" collapsed="false">
      <c r="A54" s="11" t="s">
        <v>144</v>
      </c>
      <c r="B54" s="48" t="n">
        <f aca="false">SUM(B55:B56)</f>
        <v>12000</v>
      </c>
      <c r="C54" s="48" t="n">
        <f aca="false">SUM(C55:C56)</f>
        <v>85000</v>
      </c>
      <c r="D54" s="48" t="n">
        <f aca="false">SUM(D55:D56)</f>
        <v>120000</v>
      </c>
      <c r="E54" s="48" t="n">
        <f aca="false">SUM(E55:E56)</f>
        <v>150000</v>
      </c>
      <c r="F54" s="48" t="s">
        <v>145</v>
      </c>
    </row>
    <row r="55" customFormat="false" ht="15" hidden="false" customHeight="true" outlineLevel="1" collapsed="false">
      <c r="A55" s="44" t="s">
        <v>146</v>
      </c>
      <c r="B55" s="47" t="n">
        <v>8197</v>
      </c>
      <c r="C55" s="47" t="n">
        <v>45000</v>
      </c>
      <c r="D55" s="47" t="n">
        <v>60000</v>
      </c>
      <c r="E55" s="47" t="n">
        <v>75000</v>
      </c>
      <c r="F55" s="47" t="s">
        <v>147</v>
      </c>
    </row>
    <row r="56" customFormat="false" ht="15" hidden="false" customHeight="true" outlineLevel="1" collapsed="false">
      <c r="A56" s="42" t="s">
        <v>148</v>
      </c>
      <c r="B56" s="46" t="n">
        <v>3803</v>
      </c>
      <c r="C56" s="46" t="n">
        <v>40000</v>
      </c>
      <c r="D56" s="46" t="n">
        <v>60000</v>
      </c>
      <c r="E56" s="46" t="n">
        <v>75000</v>
      </c>
      <c r="F56" s="46" t="s">
        <v>149</v>
      </c>
    </row>
    <row r="57" customFormat="false" ht="15" hidden="false" customHeight="true" outlineLevel="0" collapsed="false">
      <c r="A57" s="5" t="s">
        <v>150</v>
      </c>
      <c r="B57" s="41" t="n">
        <f aca="false">SUM(B58:B62)</f>
        <v>8000</v>
      </c>
      <c r="C57" s="41" t="n">
        <f aca="false">SUM(C58:C62)</f>
        <v>110000</v>
      </c>
      <c r="D57" s="41" t="n">
        <f aca="false">SUM(D58:D62)</f>
        <v>160000</v>
      </c>
      <c r="E57" s="41" t="n">
        <f aca="false">SUM(E58:E62)</f>
        <v>200000</v>
      </c>
      <c r="F57" s="41" t="s">
        <v>151</v>
      </c>
    </row>
    <row r="58" customFormat="false" ht="15" hidden="false" customHeight="true" outlineLevel="1" collapsed="false">
      <c r="A58" s="42" t="s">
        <v>152</v>
      </c>
      <c r="B58" s="46" t="n">
        <v>1500</v>
      </c>
      <c r="C58" s="46" t="n">
        <v>20000</v>
      </c>
      <c r="D58" s="46" t="n">
        <v>30000</v>
      </c>
      <c r="E58" s="46" t="n">
        <v>40000</v>
      </c>
      <c r="F58" s="46" t="s">
        <v>153</v>
      </c>
    </row>
    <row r="59" customFormat="false" ht="15" hidden="false" customHeight="true" outlineLevel="1" collapsed="false">
      <c r="A59" s="44" t="s">
        <v>154</v>
      </c>
      <c r="B59" s="47" t="n">
        <v>2000</v>
      </c>
      <c r="C59" s="47" t="n">
        <v>25000</v>
      </c>
      <c r="D59" s="47" t="n">
        <v>35000</v>
      </c>
      <c r="E59" s="47" t="n">
        <v>45000</v>
      </c>
      <c r="F59" s="47" t="s">
        <v>155</v>
      </c>
    </row>
    <row r="60" customFormat="false" ht="15" hidden="false" customHeight="true" outlineLevel="1" collapsed="false">
      <c r="A60" s="42" t="s">
        <v>156</v>
      </c>
      <c r="B60" s="46" t="n">
        <v>500</v>
      </c>
      <c r="C60" s="46" t="n">
        <v>35000</v>
      </c>
      <c r="D60" s="46" t="n">
        <v>50000</v>
      </c>
      <c r="E60" s="46" t="n">
        <v>60000</v>
      </c>
      <c r="F60" s="46" t="s">
        <v>157</v>
      </c>
    </row>
    <row r="61" customFormat="false" ht="15" hidden="false" customHeight="true" outlineLevel="1" collapsed="false">
      <c r="A61" s="44" t="s">
        <v>158</v>
      </c>
      <c r="B61" s="47" t="n">
        <v>2000</v>
      </c>
      <c r="C61" s="47" t="n">
        <v>20000</v>
      </c>
      <c r="D61" s="47" t="n">
        <v>30000</v>
      </c>
      <c r="E61" s="47" t="n">
        <v>40000</v>
      </c>
      <c r="F61" s="47" t="s">
        <v>159</v>
      </c>
    </row>
    <row r="62" customFormat="false" ht="15" hidden="false" customHeight="true" outlineLevel="1" collapsed="false">
      <c r="A62" s="42" t="s">
        <v>160</v>
      </c>
      <c r="B62" s="46" t="n">
        <v>2000</v>
      </c>
      <c r="C62" s="46" t="n">
        <v>10000</v>
      </c>
      <c r="D62" s="46" t="n">
        <v>15000</v>
      </c>
      <c r="E62" s="46" t="n">
        <v>15000</v>
      </c>
      <c r="F62" s="46" t="s">
        <v>161</v>
      </c>
    </row>
    <row r="63" customFormat="false" ht="15" hidden="false" customHeight="true" outlineLevel="0" collapsed="false">
      <c r="A63" s="5" t="s">
        <v>162</v>
      </c>
      <c r="B63" s="41" t="n">
        <f aca="false">SUM(B64:B65)</f>
        <v>42000</v>
      </c>
      <c r="C63" s="41" t="n">
        <f aca="false">SUM(C64:C65)</f>
        <v>60000</v>
      </c>
      <c r="D63" s="41" t="n">
        <f aca="false">SUM(D64:D65)</f>
        <v>80000</v>
      </c>
      <c r="E63" s="41" t="n">
        <f aca="false">SUM(E64:E65)</f>
        <v>100000</v>
      </c>
      <c r="F63" s="41" t="s">
        <v>163</v>
      </c>
    </row>
    <row r="64" customFormat="false" ht="15" hidden="false" customHeight="true" outlineLevel="1" collapsed="false">
      <c r="A64" s="42" t="s">
        <v>164</v>
      </c>
      <c r="B64" s="46" t="n">
        <v>37000</v>
      </c>
      <c r="C64" s="46" t="n">
        <v>50000</v>
      </c>
      <c r="D64" s="46" t="n">
        <v>65000</v>
      </c>
      <c r="E64" s="46" t="n">
        <v>80000</v>
      </c>
      <c r="F64" s="46" t="s">
        <v>165</v>
      </c>
    </row>
    <row r="65" customFormat="false" ht="15" hidden="false" customHeight="true" outlineLevel="1" collapsed="false">
      <c r="A65" s="44" t="s">
        <v>166</v>
      </c>
      <c r="B65" s="47" t="n">
        <v>5000</v>
      </c>
      <c r="C65" s="47" t="n">
        <v>10000</v>
      </c>
      <c r="D65" s="47" t="n">
        <v>15000</v>
      </c>
      <c r="E65" s="47" t="n">
        <v>20000</v>
      </c>
      <c r="F65" s="47" t="s">
        <v>167</v>
      </c>
    </row>
    <row r="66" customFormat="false" ht="15" hidden="false" customHeight="true" outlineLevel="0" collapsed="false">
      <c r="A66" s="7" t="s">
        <v>168</v>
      </c>
      <c r="B66" s="49" t="n">
        <v>5000</v>
      </c>
      <c r="C66" s="49" t="n">
        <v>45000</v>
      </c>
      <c r="D66" s="49" t="n">
        <v>50000</v>
      </c>
      <c r="E66" s="49" t="n">
        <v>55000</v>
      </c>
      <c r="F66" s="49" t="s">
        <v>169</v>
      </c>
    </row>
    <row r="67" customFormat="false" ht="15" hidden="false" customHeight="true" outlineLevel="0" collapsed="false">
      <c r="A67" s="9" t="s">
        <v>170</v>
      </c>
      <c r="B67" s="50" t="n">
        <v>12000</v>
      </c>
      <c r="C67" s="50" t="n">
        <v>18000</v>
      </c>
      <c r="D67" s="50" t="n">
        <v>28000</v>
      </c>
      <c r="E67" s="50" t="n">
        <v>35000</v>
      </c>
      <c r="F67" s="50" t="s">
        <v>171</v>
      </c>
    </row>
    <row r="68" customFormat="false" ht="15" hidden="false" customHeight="true" outlineLevel="0" collapsed="false">
      <c r="A68" s="11" t="s">
        <v>172</v>
      </c>
      <c r="B68" s="48" t="n">
        <f aca="false">B47+B54+B57+B63+B66+B67</f>
        <v>96000</v>
      </c>
      <c r="C68" s="48" t="n">
        <f aca="false">C47+C54+C57+C63+C66+C67</f>
        <v>498000</v>
      </c>
      <c r="D68" s="48" t="n">
        <f aca="false">D47+D54+D57+D63+D66+D67</f>
        <v>778000</v>
      </c>
      <c r="E68" s="48" t="n">
        <f aca="false">E47+E54+E57+E63+E66+E67</f>
        <v>1020000</v>
      </c>
      <c r="F68" s="48"/>
    </row>
    <row r="70" customFormat="false" ht="15" hidden="false" customHeight="true" outlineLevel="0" collapsed="false">
      <c r="A70" s="17" t="s">
        <v>173</v>
      </c>
      <c r="B70" s="18"/>
      <c r="C70" s="18"/>
      <c r="D70" s="18"/>
      <c r="E70" s="18"/>
      <c r="F70" s="18"/>
    </row>
    <row r="71" customFormat="false" ht="15" hidden="false" customHeight="true" outlineLevel="0" collapsed="false">
      <c r="A71" s="9" t="s">
        <v>174</v>
      </c>
      <c r="B71" s="10" t="n">
        <v>0</v>
      </c>
      <c r="C71" s="10" t="n">
        <f aca="false">Dashboard!B26</f>
        <v>500000</v>
      </c>
      <c r="D71" s="10" t="n">
        <v>0</v>
      </c>
      <c r="E71" s="10" t="n">
        <v>0</v>
      </c>
      <c r="F71" s="10" t="s">
        <v>175</v>
      </c>
    </row>
    <row r="72" customFormat="false" ht="15" hidden="false" customHeight="true" outlineLevel="0" collapsed="false">
      <c r="A72" s="7" t="s">
        <v>176</v>
      </c>
      <c r="B72" s="52" t="n">
        <v>5000</v>
      </c>
      <c r="C72" s="52" t="n">
        <f aca="false">Projections!B48</f>
        <v>85575.667</v>
      </c>
      <c r="D72" s="52" t="n">
        <f aca="false">Projections!C48</f>
        <v>331880.126956881</v>
      </c>
      <c r="E72" s="52" t="n">
        <f aca="false">Projections!D48</f>
        <v>208040.986913762</v>
      </c>
      <c r="F72" s="52" t="s">
        <v>177</v>
      </c>
    </row>
    <row r="74" customFormat="false" ht="15" hidden="false" customHeight="true" outlineLevel="0" collapsed="false">
      <c r="A74" s="17" t="s">
        <v>178</v>
      </c>
      <c r="B74" s="18"/>
      <c r="C74" s="18"/>
      <c r="D74" s="18"/>
      <c r="E74" s="18"/>
      <c r="F74" s="18"/>
    </row>
    <row r="75" customFormat="false" ht="15" hidden="false" customHeight="true" outlineLevel="0" collapsed="false">
      <c r="A75" s="9" t="s">
        <v>179</v>
      </c>
      <c r="B75" s="53" t="n">
        <f aca="false">B8+B10+B12+B14</f>
        <v>132</v>
      </c>
      <c r="C75" s="53" t="n">
        <f aca="false">C8+C10+C12+C14</f>
        <v>515</v>
      </c>
      <c r="D75" s="53" t="n">
        <f aca="false">D8+D10+D12+D14</f>
        <v>1650</v>
      </c>
      <c r="E75" s="53" t="n">
        <f aca="false">E8+E10+E12+E14</f>
        <v>3600</v>
      </c>
      <c r="F75" s="53" t="s">
        <v>180</v>
      </c>
    </row>
    <row r="76" customFormat="false" ht="15" hidden="false" customHeight="true" outlineLevel="0" collapsed="false">
      <c r="A76" s="7" t="s">
        <v>181</v>
      </c>
      <c r="B76" s="54" t="n">
        <f aca="false">B18+B20+B22</f>
        <v>4</v>
      </c>
      <c r="C76" s="54" t="n">
        <f aca="false">C18+C20+C22</f>
        <v>6</v>
      </c>
      <c r="D76" s="54" t="n">
        <f aca="false">D18+D20+D22</f>
        <v>15</v>
      </c>
      <c r="E76" s="54" t="n">
        <f aca="false">E18+E20+E22</f>
        <v>33</v>
      </c>
      <c r="F76" s="54"/>
    </row>
    <row r="77" customFormat="false" ht="15" hidden="false" customHeight="true" outlineLevel="0" collapsed="false">
      <c r="A77" s="9" t="s">
        <v>17</v>
      </c>
      <c r="B77" s="55" t="n">
        <v>10000</v>
      </c>
      <c r="C77" s="55" t="n">
        <v>25000</v>
      </c>
      <c r="D77" s="55" t="n">
        <v>60000</v>
      </c>
      <c r="E77" s="55" t="n">
        <v>120000</v>
      </c>
      <c r="F77" s="55"/>
    </row>
    <row r="78" customFormat="false" ht="15" hidden="false" customHeight="true" outlineLevel="0" collapsed="false">
      <c r="A78" s="7" t="s">
        <v>182</v>
      </c>
      <c r="B78" s="51" t="n">
        <v>0.014</v>
      </c>
      <c r="C78" s="51" t="n">
        <v>0.024</v>
      </c>
      <c r="D78" s="51" t="n">
        <v>0.033</v>
      </c>
      <c r="E78" s="51" t="n">
        <v>0.042</v>
      </c>
      <c r="F78" s="51"/>
    </row>
    <row r="79" customFormat="false" ht="15" hidden="false" customHeight="true" outlineLevel="0" collapsed="false">
      <c r="A79" s="9" t="s">
        <v>183</v>
      </c>
      <c r="B79" s="56" t="n">
        <f aca="false">IF((B75+B76)&gt;0,B57/(B75+B76),0)</f>
        <v>58.8235294117647</v>
      </c>
      <c r="C79" s="56" t="n">
        <f aca="false">IF((C75+C76)-(B75+B76)&gt;0,C57/((C75+C76)-(B75+B76)),0)</f>
        <v>285.714285714286</v>
      </c>
      <c r="D79" s="56" t="n">
        <f aca="false">IF((D75+D76)-(C75+C76)&gt;0,D57/((D75+D76)-(C75+C76)),0)</f>
        <v>139.86013986014</v>
      </c>
      <c r="E79" s="56" t="n">
        <f aca="false">IF((E75+E76)-(D75+D76)&gt;0,E57/((E75+E76)-(D75+D76)),0)</f>
        <v>101.626016260163</v>
      </c>
      <c r="F79" s="57" t="s">
        <v>184</v>
      </c>
    </row>
    <row r="80" customFormat="false" ht="15" hidden="false" customHeight="true" outlineLevel="0" collapsed="false">
      <c r="A80" s="7" t="s">
        <v>185</v>
      </c>
      <c r="B80" s="51" t="n">
        <v>0.03</v>
      </c>
      <c r="C80" s="51" t="n">
        <v>0.025</v>
      </c>
      <c r="D80" s="51" t="n">
        <v>0.02</v>
      </c>
      <c r="E80" s="51" t="n">
        <v>0.018</v>
      </c>
      <c r="F80" s="51" t="s">
        <v>186</v>
      </c>
    </row>
    <row r="81" customFormat="false" ht="15" hidden="false" customHeight="true" outlineLevel="0" collapsed="false">
      <c r="A81" s="9" t="s">
        <v>187</v>
      </c>
      <c r="B81" s="56" t="n">
        <f aca="false">IF(AND(B80&gt;0,(B75+B76)&gt;0),(B7+B17)/(B75+B76)/12/B80,0)</f>
        <v>413.194444444444</v>
      </c>
      <c r="C81" s="56" t="n">
        <f aca="false">IF(AND(C80&gt;0,(C75+C76)&gt;0),(C7+C17)/(C75+C76)/12/C80,0)</f>
        <v>885.131158029431</v>
      </c>
      <c r="D81" s="56" t="n">
        <f aca="false">IF(AND(D80&gt;0,(D75+D76)&gt;0),(D7+D17)/(D75+D76)/12/D80,0)</f>
        <v>957.282282282282</v>
      </c>
      <c r="E81" s="56" t="n">
        <f aca="false">IF(AND(E80&gt;0,(E75+E76)&gt;0),(E7+E17)/(E75+E76)/12/E80,0)</f>
        <v>1175.56656573998</v>
      </c>
      <c r="F81" s="58" t="s">
        <v>188</v>
      </c>
    </row>
    <row r="82" customFormat="false" ht="15" hidden="false" customHeight="true" outlineLevel="0" collapsed="false">
      <c r="A82" s="7" t="s">
        <v>189</v>
      </c>
      <c r="B82" s="59" t="n">
        <f aca="false">IF(B79&gt;0,B81/B79,0)</f>
        <v>7.02430555555556</v>
      </c>
      <c r="C82" s="59" t="n">
        <f aca="false">IF(C79&gt;0,C81/C79,0)</f>
        <v>3.09795905310301</v>
      </c>
      <c r="D82" s="59" t="n">
        <f aca="false">IF(D79&gt;0,D81/D79,0)</f>
        <v>6.84456831831832</v>
      </c>
      <c r="E82" s="59" t="n">
        <f aca="false">IF(E79&gt;0,E81/E79,0)</f>
        <v>11.5675750068814</v>
      </c>
      <c r="F82" s="59" t="s">
        <v>190</v>
      </c>
    </row>
    <row r="83" customFormat="false" ht="15" hidden="false" customHeight="true" outlineLevel="0" collapsed="false">
      <c r="A83" s="60" t="s">
        <v>191</v>
      </c>
      <c r="B83" s="61" t="n">
        <f aca="false">IF((B75+B76)&gt;0,(B7+B17)/(B75+B76)/12,0)</f>
        <v>12.3958333333333</v>
      </c>
      <c r="C83" s="61" t="n">
        <f aca="false">IF((C75+C76)&gt;0,(C7+C17)/(C75+C76)/12,0)</f>
        <v>22.1282789507358</v>
      </c>
      <c r="D83" s="61" t="n">
        <f aca="false">IF((D75+D76)&gt;0,(D7+D17)/(D75+D76)/12,0)</f>
        <v>19.1456456456456</v>
      </c>
      <c r="E83" s="61" t="n">
        <f aca="false">IF((E75+E76)&gt;0,(E7+E17)/(E75+E76)/12,0)</f>
        <v>21.1601981833196</v>
      </c>
      <c r="F83" s="1" t="s">
        <v>192</v>
      </c>
    </row>
    <row r="84" customFormat="false" ht="15" hidden="false" customHeight="true" outlineLevel="0" collapsed="false">
      <c r="A84" s="60" t="s">
        <v>193</v>
      </c>
      <c r="B84" s="62" t="n">
        <f aca="false">B75+B76</f>
        <v>136</v>
      </c>
      <c r="C84" s="62" t="n">
        <f aca="false">(C75+C76)-(B75+B76)</f>
        <v>385</v>
      </c>
      <c r="D84" s="62" t="n">
        <f aca="false">(D75+D76)-(C75+C76)</f>
        <v>1144</v>
      </c>
      <c r="E84" s="62" t="n">
        <f aca="false">(E75+E76)-(D75+D76)</f>
        <v>1968</v>
      </c>
      <c r="F84" s="1" t="s">
        <v>194</v>
      </c>
    </row>
    <row r="86" customFormat="false" ht="15" hidden="false" customHeight="true" outlineLevel="0" collapsed="false">
      <c r="A86" s="63" t="s">
        <v>195</v>
      </c>
      <c r="B86" s="63"/>
      <c r="C86" s="63"/>
      <c r="D86" s="63"/>
      <c r="E86" s="63"/>
      <c r="F86" s="63"/>
    </row>
    <row r="87" customFormat="false" ht="15" hidden="false" customHeight="true" outlineLevel="0" collapsed="false">
      <c r="A87" s="63"/>
      <c r="B87" s="63"/>
      <c r="C87" s="63"/>
      <c r="D87" s="63"/>
      <c r="E87" s="63"/>
      <c r="F87" s="63"/>
    </row>
    <row r="88" customFormat="false" ht="15" hidden="false" customHeight="true" outlineLevel="0" collapsed="false">
      <c r="A88" s="63"/>
      <c r="B88" s="63"/>
      <c r="C88" s="63"/>
      <c r="D88" s="63"/>
      <c r="E88" s="63"/>
      <c r="F88" s="63"/>
    </row>
  </sheetData>
  <mergeCells count="1">
    <mergeCell ref="A86:F8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2"/>
    <col collapsed="false" customWidth="true" hidden="false" outlineLevel="0" max="13" min="2" style="1" width="13"/>
    <col collapsed="false" customWidth="true" hidden="false" outlineLevel="0" max="14" min="14" style="1" width="15"/>
    <col collapsed="false" customWidth="true" hidden="false" outlineLevel="0" max="15" min="15" style="1" width="35"/>
  </cols>
  <sheetData>
    <row r="1" customFormat="false" ht="19.5" hidden="false" customHeight="true" outlineLevel="0" collapsed="false">
      <c r="A1" s="2" t="s">
        <v>196</v>
      </c>
    </row>
    <row r="2" customFormat="false" ht="15" hidden="false" customHeight="true" outlineLevel="0" collapsed="false">
      <c r="A2" s="3" t="s">
        <v>197</v>
      </c>
    </row>
    <row r="4" customFormat="false" ht="15" hidden="false" customHeight="true" outlineLevel="0" collapsed="false">
      <c r="A4" s="64"/>
      <c r="B4" s="65" t="s">
        <v>198</v>
      </c>
      <c r="C4" s="65" t="s">
        <v>199</v>
      </c>
      <c r="D4" s="65" t="s">
        <v>200</v>
      </c>
      <c r="E4" s="65" t="s">
        <v>201</v>
      </c>
      <c r="F4" s="65" t="s">
        <v>202</v>
      </c>
      <c r="G4" s="65" t="s">
        <v>203</v>
      </c>
      <c r="H4" s="65" t="s">
        <v>204</v>
      </c>
      <c r="I4" s="65" t="s">
        <v>205</v>
      </c>
      <c r="J4" s="65" t="s">
        <v>206</v>
      </c>
      <c r="K4" s="65" t="s">
        <v>207</v>
      </c>
      <c r="L4" s="65" t="s">
        <v>208</v>
      </c>
      <c r="M4" s="65" t="s">
        <v>209</v>
      </c>
      <c r="N4" s="65" t="s">
        <v>210</v>
      </c>
      <c r="O4" s="66" t="s">
        <v>69</v>
      </c>
    </row>
    <row r="5" customFormat="false" ht="15" hidden="false" customHeight="true" outlineLevel="0" collapsed="false">
      <c r="A5" s="67" t="s">
        <v>211</v>
      </c>
      <c r="B5" s="68"/>
      <c r="C5" s="68"/>
      <c r="D5" s="68"/>
      <c r="E5" s="68"/>
      <c r="F5" s="68"/>
      <c r="G5" s="68"/>
      <c r="H5" s="68"/>
      <c r="I5" s="68"/>
      <c r="J5" s="68"/>
      <c r="K5" s="68"/>
      <c r="L5" s="68"/>
      <c r="M5" s="68"/>
      <c r="N5" s="68"/>
      <c r="O5" s="68"/>
    </row>
    <row r="6" customFormat="false" ht="15" hidden="false" customHeight="true" outlineLevel="0" collapsed="false">
      <c r="A6" s="24" t="s">
        <v>212</v>
      </c>
      <c r="B6" s="69" t="n">
        <v>0</v>
      </c>
      <c r="C6" s="69" t="n">
        <v>0</v>
      </c>
      <c r="D6" s="69" t="n">
        <v>0</v>
      </c>
      <c r="E6" s="69" t="n">
        <v>0</v>
      </c>
      <c r="F6" s="69" t="n">
        <v>0</v>
      </c>
      <c r="G6" s="69" t="n">
        <v>0</v>
      </c>
      <c r="H6" s="69" t="n">
        <v>0</v>
      </c>
      <c r="I6" s="69" t="n">
        <v>0</v>
      </c>
      <c r="J6" s="69" t="n">
        <v>0</v>
      </c>
      <c r="K6" s="69" t="n">
        <v>0</v>
      </c>
      <c r="L6" s="69" t="n">
        <v>0</v>
      </c>
      <c r="M6" s="69" t="n">
        <v>0</v>
      </c>
      <c r="N6" s="70" t="n">
        <f aca="false">SUM(B6:M6)</f>
        <v>0</v>
      </c>
      <c r="O6" s="60" t="s">
        <v>213</v>
      </c>
    </row>
    <row r="7" customFormat="false" ht="15" hidden="false" customHeight="true" outlineLevel="0" collapsed="false">
      <c r="A7" s="24" t="s">
        <v>214</v>
      </c>
      <c r="B7" s="69" t="n">
        <v>0</v>
      </c>
      <c r="C7" s="69" t="n">
        <v>0</v>
      </c>
      <c r="D7" s="69" t="n">
        <v>0</v>
      </c>
      <c r="E7" s="69" t="n">
        <v>0</v>
      </c>
      <c r="F7" s="69" t="n">
        <v>0</v>
      </c>
      <c r="G7" s="69" t="n">
        <v>0</v>
      </c>
      <c r="H7" s="69" t="n">
        <v>0</v>
      </c>
      <c r="I7" s="69" t="n">
        <v>0</v>
      </c>
      <c r="J7" s="69" t="n">
        <v>0</v>
      </c>
      <c r="K7" s="69" t="n">
        <v>0</v>
      </c>
      <c r="L7" s="69" t="n">
        <v>0</v>
      </c>
      <c r="M7" s="69" t="n">
        <v>0</v>
      </c>
      <c r="N7" s="70" t="n">
        <f aca="false">SUM(B7:M7)</f>
        <v>0</v>
      </c>
      <c r="O7" s="60" t="s">
        <v>215</v>
      </c>
    </row>
    <row r="8" customFormat="false" ht="15" hidden="false" customHeight="true" outlineLevel="0" collapsed="false">
      <c r="A8" s="24" t="s">
        <v>216</v>
      </c>
      <c r="B8" s="69" t="n">
        <v>0</v>
      </c>
      <c r="C8" s="69" t="n">
        <v>0</v>
      </c>
      <c r="D8" s="69" t="n">
        <v>0</v>
      </c>
      <c r="E8" s="69" t="n">
        <v>0</v>
      </c>
      <c r="F8" s="69" t="n">
        <v>0</v>
      </c>
      <c r="G8" s="69" t="n">
        <v>0</v>
      </c>
      <c r="H8" s="69" t="n">
        <v>0</v>
      </c>
      <c r="I8" s="69" t="n">
        <v>0</v>
      </c>
      <c r="J8" s="69" t="n">
        <v>0</v>
      </c>
      <c r="K8" s="69" t="n">
        <v>0</v>
      </c>
      <c r="L8" s="69" t="n">
        <v>0</v>
      </c>
      <c r="M8" s="69" t="n">
        <v>0</v>
      </c>
      <c r="N8" s="70" t="n">
        <f aca="false">SUM(B8:M8)</f>
        <v>0</v>
      </c>
      <c r="O8" s="60" t="s">
        <v>217</v>
      </c>
    </row>
    <row r="9" customFormat="false" ht="15" hidden="false" customHeight="true" outlineLevel="0" collapsed="false">
      <c r="A9" s="20" t="s">
        <v>218</v>
      </c>
      <c r="B9" s="71" t="n">
        <f aca="false">'2026 Monthly P&amp;L'!B11</f>
        <v>9844</v>
      </c>
      <c r="C9" s="71" t="n">
        <f aca="false">'2026 Monthly P&amp;L'!C11</f>
        <v>9300</v>
      </c>
      <c r="D9" s="71" t="n">
        <f aca="false">'2026 Monthly P&amp;L'!D11</f>
        <v>15886</v>
      </c>
      <c r="E9" s="71" t="n">
        <f aca="false">'2026 Monthly P&amp;L'!E11</f>
        <v>12548.1907400079</v>
      </c>
      <c r="F9" s="71" t="n">
        <f aca="false">'2026 Monthly P&amp;L'!F11</f>
        <v>19449.683419074</v>
      </c>
      <c r="G9" s="71" t="n">
        <f aca="false">'2026 Monthly P&amp;L'!G11</f>
        <v>56871.2655583435</v>
      </c>
      <c r="H9" s="71" t="n">
        <f aca="false">'2026 Monthly P&amp;L'!H11</f>
        <v>25523.3975917237</v>
      </c>
      <c r="I9" s="71" t="n">
        <f aca="false">'2026 Monthly P&amp;L'!I11</f>
        <v>17052.0270224433</v>
      </c>
      <c r="J9" s="71" t="n">
        <f aca="false">'2026 Monthly P&amp;L'!J11</f>
        <v>52986.8513330753</v>
      </c>
      <c r="K9" s="71" t="n">
        <f aca="false">'2026 Monthly P&amp;L'!K11</f>
        <v>20378.3986658375</v>
      </c>
      <c r="L9" s="71" t="n">
        <f aca="false">'2026 Monthly P&amp;L'!L11</f>
        <v>50091.8973547228</v>
      </c>
      <c r="M9" s="71" t="n">
        <f aca="false">'2026 Monthly P&amp;L'!M11</f>
        <v>25414.2883147719</v>
      </c>
      <c r="N9" s="72" t="n">
        <f aca="false">SUM(B9:M9)</f>
        <v>315346</v>
      </c>
      <c r="O9" s="60" t="s">
        <v>219</v>
      </c>
    </row>
    <row r="10" customFormat="false" ht="15" hidden="false" customHeight="true" outlineLevel="0" collapsed="false">
      <c r="A10" s="24" t="s">
        <v>220</v>
      </c>
      <c r="B10" s="73" t="n">
        <f aca="false">B6+B7+B8+B9</f>
        <v>9844</v>
      </c>
      <c r="C10" s="73" t="n">
        <f aca="false">C6+C7+C8+C9</f>
        <v>9300</v>
      </c>
      <c r="D10" s="73" t="n">
        <f aca="false">D6+D7+D8+D9</f>
        <v>15886</v>
      </c>
      <c r="E10" s="73" t="n">
        <f aca="false">E6+E7+E8+E9</f>
        <v>12548.1907400079</v>
      </c>
      <c r="F10" s="73" t="n">
        <f aca="false">F6+F7+F8+F9</f>
        <v>19449.683419074</v>
      </c>
      <c r="G10" s="73" t="n">
        <f aca="false">G6+G7+G8+G9</f>
        <v>56871.2655583435</v>
      </c>
      <c r="H10" s="73" t="n">
        <f aca="false">H6+H7+H8+H9</f>
        <v>25523.3975917237</v>
      </c>
      <c r="I10" s="73" t="n">
        <f aca="false">I6+I7+I8+I9</f>
        <v>17052.0270224433</v>
      </c>
      <c r="J10" s="73" t="n">
        <f aca="false">J6+J7+J8+J9</f>
        <v>52986.8513330753</v>
      </c>
      <c r="K10" s="73" t="n">
        <f aca="false">K6+K7+K8+K9</f>
        <v>20378.3986658375</v>
      </c>
      <c r="L10" s="73" t="n">
        <f aca="false">L6+L7+L8+L9</f>
        <v>50091.8973547228</v>
      </c>
      <c r="M10" s="73" t="n">
        <f aca="false">M6+M7+M8+M9</f>
        <v>25414.2883147719</v>
      </c>
      <c r="N10" s="73" t="n">
        <f aca="false">SUM(B10:M10)</f>
        <v>315346</v>
      </c>
    </row>
    <row r="11" customFormat="false" ht="15" hidden="false" customHeight="true" outlineLevel="0" collapsed="false">
      <c r="A11" s="74" t="s">
        <v>221</v>
      </c>
      <c r="B11" s="75" t="n">
        <f aca="false">B10</f>
        <v>9844</v>
      </c>
      <c r="C11" s="75" t="n">
        <f aca="false">B11+C10</f>
        <v>19144</v>
      </c>
      <c r="D11" s="75" t="n">
        <f aca="false">C11+D10</f>
        <v>35030</v>
      </c>
      <c r="E11" s="75" t="n">
        <f aca="false">D11+E10</f>
        <v>47578.1907400079</v>
      </c>
      <c r="F11" s="75" t="n">
        <f aca="false">E11+F10</f>
        <v>67027.8741590819</v>
      </c>
      <c r="G11" s="75" t="n">
        <f aca="false">F11+G10</f>
        <v>123899.139717425</v>
      </c>
      <c r="H11" s="75" t="n">
        <f aca="false">G11+H10</f>
        <v>149422.537309149</v>
      </c>
      <c r="I11" s="75" t="n">
        <f aca="false">H11+I10</f>
        <v>166474.564331592</v>
      </c>
      <c r="J11" s="75" t="n">
        <f aca="false">I11+J10</f>
        <v>219461.415664668</v>
      </c>
      <c r="K11" s="75" t="n">
        <f aca="false">J11+K10</f>
        <v>239839.814330505</v>
      </c>
      <c r="L11" s="75" t="n">
        <f aca="false">K11+L10</f>
        <v>289931.711685228</v>
      </c>
      <c r="M11" s="75" t="n">
        <f aca="false">L11+M10</f>
        <v>315346</v>
      </c>
    </row>
    <row r="12" customFormat="false" ht="15" hidden="false" customHeight="true" outlineLevel="0" collapsed="false">
      <c r="A12" s="20" t="s">
        <v>222</v>
      </c>
      <c r="B12" s="76" t="n">
        <f aca="false">Dashboard!B26</f>
        <v>500000</v>
      </c>
      <c r="O12" s="60" t="s">
        <v>223</v>
      </c>
    </row>
    <row r="13" customFormat="false" ht="15" hidden="false" customHeight="true" outlineLevel="0" collapsed="false">
      <c r="A13" s="20" t="s">
        <v>224</v>
      </c>
      <c r="B13" s="77" t="n">
        <f aca="false">IF(B12&gt;0,(B6+B7+B8)/B12,0)</f>
        <v>0</v>
      </c>
      <c r="C13" s="77" t="n">
        <f aca="false">IF($B$12&gt;0,SUM($B$6:C6,$B$7:C7,$B$8:C8)/$B$12,0)</f>
        <v>0</v>
      </c>
      <c r="D13" s="77" t="n">
        <f aca="false">IF($B$12&gt;0,SUM($B$6:D6,$B$7:D7,$B$8:D8)/$B$12,0)</f>
        <v>0</v>
      </c>
      <c r="E13" s="77" t="n">
        <f aca="false">IF($B$12&gt;0,SUM($B$6:E6,$B$7:E7,$B$8:E8)/$B$12,0)</f>
        <v>0</v>
      </c>
      <c r="F13" s="77" t="n">
        <f aca="false">IF($B$12&gt;0,SUM($B$6:F6,$B$7:F7,$B$8:F8)/$B$12,0)</f>
        <v>0</v>
      </c>
      <c r="G13" s="77" t="n">
        <f aca="false">IF($B$12&gt;0,SUM($B$6:G6,$B$7:G7,$B$8:G8)/$B$12,0)</f>
        <v>0</v>
      </c>
      <c r="H13" s="77" t="n">
        <f aca="false">IF($B$12&gt;0,SUM($B$6:H6,$B$7:H7,$B$8:H8)/$B$12,0)</f>
        <v>0</v>
      </c>
      <c r="I13" s="77" t="n">
        <f aca="false">IF($B$12&gt;0,SUM($B$6:I6,$B$7:I7,$B$8:I8)/$B$12,0)</f>
        <v>0</v>
      </c>
      <c r="J13" s="77" t="n">
        <f aca="false">IF($B$12&gt;0,SUM($B$6:J6,$B$7:J7,$B$8:J8)/$B$12,0)</f>
        <v>0</v>
      </c>
      <c r="K13" s="77" t="n">
        <f aca="false">IF($B$12&gt;0,SUM($B$6:K6,$B$7:K7,$B$8:K8)/$B$12,0)</f>
        <v>0</v>
      </c>
      <c r="L13" s="77" t="n">
        <f aca="false">IF($B$12&gt;0,SUM($B$6:L6,$B$7:L7,$B$8:L8)/$B$12,0)</f>
        <v>0</v>
      </c>
      <c r="M13" s="77" t="n">
        <f aca="false">IF($B$12&gt;0,SUM($B$6:M6,$B$7:M7,$B$8:M8)/$B$12,0)</f>
        <v>0</v>
      </c>
    </row>
    <row r="15" customFormat="false" ht="15" hidden="false" customHeight="true" outlineLevel="0" collapsed="false">
      <c r="A15" s="67" t="s">
        <v>225</v>
      </c>
      <c r="B15" s="68"/>
      <c r="C15" s="68"/>
      <c r="D15" s="68"/>
      <c r="E15" s="68"/>
      <c r="F15" s="68"/>
      <c r="G15" s="68"/>
      <c r="H15" s="68"/>
      <c r="I15" s="68"/>
      <c r="J15" s="68"/>
      <c r="K15" s="68"/>
      <c r="L15" s="68"/>
      <c r="M15" s="68"/>
      <c r="N15" s="68"/>
      <c r="O15" s="68"/>
    </row>
    <row r="16" customFormat="false" ht="15" hidden="false" customHeight="true" outlineLevel="0" collapsed="false">
      <c r="A16" s="24" t="s">
        <v>130</v>
      </c>
      <c r="B16" s="78" t="n">
        <f aca="false">SUM(B17:B20)</f>
        <v>0</v>
      </c>
      <c r="C16" s="78" t="n">
        <f aca="false">SUM(C17:C20)</f>
        <v>0</v>
      </c>
      <c r="D16" s="78" t="n">
        <f aca="false">SUM(D17:D20)</f>
        <v>0</v>
      </c>
      <c r="E16" s="78" t="n">
        <f aca="false">SUM(E17:E20)</f>
        <v>0</v>
      </c>
      <c r="F16" s="78" t="n">
        <f aca="false">SUM(F17:F20)</f>
        <v>0</v>
      </c>
      <c r="G16" s="78" t="n">
        <f aca="false">SUM(G17:G20)</f>
        <v>0</v>
      </c>
      <c r="H16" s="78" t="n">
        <f aca="false">SUM(H17:H20)</f>
        <v>0</v>
      </c>
      <c r="I16" s="78" t="n">
        <f aca="false">SUM(I17:I20)</f>
        <v>0</v>
      </c>
      <c r="J16" s="78" t="n">
        <f aca="false">SUM(J17:J20)</f>
        <v>0</v>
      </c>
      <c r="K16" s="78" t="n">
        <f aca="false">SUM(K17:K20)</f>
        <v>0</v>
      </c>
      <c r="L16" s="78" t="n">
        <f aca="false">SUM(L17:L20)</f>
        <v>0</v>
      </c>
      <c r="M16" s="78" t="n">
        <f aca="false">SUM(M17:M20)</f>
        <v>0</v>
      </c>
      <c r="N16" s="70" t="n">
        <f aca="false">SUM(B16:M16)</f>
        <v>0</v>
      </c>
      <c r="O16" s="60" t="s">
        <v>226</v>
      </c>
    </row>
    <row r="17" customFormat="false" ht="15" hidden="false" customHeight="true" outlineLevel="0" collapsed="false">
      <c r="A17" s="79" t="s">
        <v>227</v>
      </c>
      <c r="B17" s="80" t="n">
        <v>0</v>
      </c>
      <c r="C17" s="80" t="n">
        <v>0</v>
      </c>
      <c r="D17" s="80" t="n">
        <v>0</v>
      </c>
      <c r="E17" s="80" t="n">
        <v>0</v>
      </c>
      <c r="F17" s="80" t="n">
        <v>0</v>
      </c>
      <c r="G17" s="80" t="n">
        <v>0</v>
      </c>
      <c r="H17" s="80" t="n">
        <v>0</v>
      </c>
      <c r="I17" s="80" t="n">
        <v>0</v>
      </c>
      <c r="J17" s="80" t="n">
        <v>0</v>
      </c>
      <c r="K17" s="80" t="n">
        <v>0</v>
      </c>
      <c r="L17" s="80" t="n">
        <v>0</v>
      </c>
      <c r="M17" s="80" t="n">
        <v>0</v>
      </c>
      <c r="N17" s="81" t="n">
        <f aca="false">SUM(B17:M17)</f>
        <v>0</v>
      </c>
      <c r="O17" s="60" t="s">
        <v>228</v>
      </c>
    </row>
    <row r="18" customFormat="false" ht="15" hidden="false" customHeight="true" outlineLevel="0" collapsed="false">
      <c r="A18" s="79" t="s">
        <v>134</v>
      </c>
      <c r="B18" s="80" t="n">
        <v>0</v>
      </c>
      <c r="C18" s="80" t="n">
        <v>0</v>
      </c>
      <c r="D18" s="80" t="n">
        <v>0</v>
      </c>
      <c r="E18" s="80" t="n">
        <v>0</v>
      </c>
      <c r="F18" s="80" t="n">
        <v>0</v>
      </c>
      <c r="G18" s="80" t="n">
        <v>0</v>
      </c>
      <c r="H18" s="80" t="n">
        <v>0</v>
      </c>
      <c r="I18" s="80" t="n">
        <v>0</v>
      </c>
      <c r="J18" s="80" t="n">
        <v>0</v>
      </c>
      <c r="K18" s="80" t="n">
        <v>0</v>
      </c>
      <c r="L18" s="80" t="n">
        <v>0</v>
      </c>
      <c r="M18" s="80" t="n">
        <v>0</v>
      </c>
      <c r="N18" s="81" t="n">
        <f aca="false">SUM(B18:M18)</f>
        <v>0</v>
      </c>
      <c r="O18" s="60" t="s">
        <v>229</v>
      </c>
    </row>
    <row r="19" customFormat="false" ht="15" hidden="false" customHeight="true" outlineLevel="0" collapsed="false">
      <c r="A19" s="79" t="s">
        <v>136</v>
      </c>
      <c r="B19" s="80" t="n">
        <v>0</v>
      </c>
      <c r="C19" s="80" t="n">
        <v>0</v>
      </c>
      <c r="D19" s="80" t="n">
        <v>0</v>
      </c>
      <c r="E19" s="80" t="n">
        <v>0</v>
      </c>
      <c r="F19" s="80" t="n">
        <v>0</v>
      </c>
      <c r="G19" s="80" t="n">
        <v>0</v>
      </c>
      <c r="H19" s="80" t="n">
        <v>0</v>
      </c>
      <c r="I19" s="80" t="n">
        <v>0</v>
      </c>
      <c r="J19" s="80" t="n">
        <v>0</v>
      </c>
      <c r="K19" s="80" t="n">
        <v>0</v>
      </c>
      <c r="L19" s="80" t="n">
        <v>0</v>
      </c>
      <c r="M19" s="80" t="n">
        <v>0</v>
      </c>
      <c r="N19" s="81" t="n">
        <f aca="false">SUM(B19:M19)</f>
        <v>0</v>
      </c>
      <c r="O19" s="60" t="s">
        <v>230</v>
      </c>
    </row>
    <row r="20" customFormat="false" ht="15" hidden="false" customHeight="true" outlineLevel="0" collapsed="false">
      <c r="A20" s="79" t="s">
        <v>142</v>
      </c>
      <c r="B20" s="80" t="n">
        <v>0</v>
      </c>
      <c r="C20" s="80" t="n">
        <v>0</v>
      </c>
      <c r="D20" s="80" t="n">
        <v>0</v>
      </c>
      <c r="E20" s="80" t="n">
        <v>0</v>
      </c>
      <c r="F20" s="80" t="n">
        <v>0</v>
      </c>
      <c r="G20" s="80" t="n">
        <v>0</v>
      </c>
      <c r="H20" s="80" t="n">
        <v>0</v>
      </c>
      <c r="I20" s="80" t="n">
        <v>0</v>
      </c>
      <c r="J20" s="80" t="n">
        <v>0</v>
      </c>
      <c r="K20" s="80" t="n">
        <v>0</v>
      </c>
      <c r="L20" s="80" t="n">
        <v>0</v>
      </c>
      <c r="M20" s="80" t="n">
        <v>0</v>
      </c>
      <c r="N20" s="81" t="n">
        <f aca="false">SUM(B20:M20)</f>
        <v>0</v>
      </c>
      <c r="O20" s="60" t="s">
        <v>231</v>
      </c>
    </row>
    <row r="21" customFormat="false" ht="15" hidden="false" customHeight="true" outlineLevel="0" collapsed="false">
      <c r="A21" s="24" t="s">
        <v>144</v>
      </c>
      <c r="B21" s="78" t="n">
        <f aca="false">SUM(B22:B23)</f>
        <v>0</v>
      </c>
      <c r="C21" s="78" t="n">
        <f aca="false">SUM(C22:C23)</f>
        <v>0</v>
      </c>
      <c r="D21" s="78" t="n">
        <f aca="false">SUM(D22:D23)</f>
        <v>0</v>
      </c>
      <c r="E21" s="78" t="n">
        <f aca="false">SUM(E22:E23)</f>
        <v>0</v>
      </c>
      <c r="F21" s="78" t="n">
        <f aca="false">SUM(F22:F23)</f>
        <v>0</v>
      </c>
      <c r="G21" s="78" t="n">
        <f aca="false">SUM(G22:G23)</f>
        <v>0</v>
      </c>
      <c r="H21" s="78" t="n">
        <f aca="false">SUM(H22:H23)</f>
        <v>0</v>
      </c>
      <c r="I21" s="78" t="n">
        <f aca="false">SUM(I22:I23)</f>
        <v>0</v>
      </c>
      <c r="J21" s="78" t="n">
        <f aca="false">SUM(J22:J23)</f>
        <v>0</v>
      </c>
      <c r="K21" s="78" t="n">
        <f aca="false">SUM(K22:K23)</f>
        <v>0</v>
      </c>
      <c r="L21" s="78" t="n">
        <f aca="false">SUM(L22:L23)</f>
        <v>0</v>
      </c>
      <c r="M21" s="78" t="n">
        <f aca="false">SUM(M22:M23)</f>
        <v>0</v>
      </c>
      <c r="N21" s="70" t="n">
        <f aca="false">SUM(B21:M21)</f>
        <v>0</v>
      </c>
      <c r="O21" s="60" t="s">
        <v>232</v>
      </c>
    </row>
    <row r="22" customFormat="false" ht="15" hidden="false" customHeight="true" outlineLevel="0" collapsed="false">
      <c r="A22" s="79" t="s">
        <v>233</v>
      </c>
      <c r="B22" s="80" t="n">
        <v>0</v>
      </c>
      <c r="C22" s="80" t="n">
        <v>0</v>
      </c>
      <c r="D22" s="80" t="n">
        <v>0</v>
      </c>
      <c r="E22" s="80" t="n">
        <v>0</v>
      </c>
      <c r="F22" s="80" t="n">
        <v>0</v>
      </c>
      <c r="G22" s="80" t="n">
        <v>0</v>
      </c>
      <c r="H22" s="80" t="n">
        <v>0</v>
      </c>
      <c r="I22" s="80" t="n">
        <v>0</v>
      </c>
      <c r="J22" s="80" t="n">
        <v>0</v>
      </c>
      <c r="K22" s="80" t="n">
        <v>0</v>
      </c>
      <c r="L22" s="80" t="n">
        <v>0</v>
      </c>
      <c r="M22" s="80" t="n">
        <v>0</v>
      </c>
      <c r="N22" s="81" t="n">
        <f aca="false">SUM(B22:M22)</f>
        <v>0</v>
      </c>
      <c r="O22" s="60" t="s">
        <v>234</v>
      </c>
    </row>
    <row r="23" customFormat="false" ht="15" hidden="false" customHeight="true" outlineLevel="0" collapsed="false">
      <c r="A23" s="79" t="s">
        <v>235</v>
      </c>
      <c r="B23" s="80" t="n">
        <v>0</v>
      </c>
      <c r="C23" s="80" t="n">
        <v>0</v>
      </c>
      <c r="D23" s="80" t="n">
        <v>0</v>
      </c>
      <c r="E23" s="80" t="n">
        <v>0</v>
      </c>
      <c r="F23" s="80" t="n">
        <v>0</v>
      </c>
      <c r="G23" s="80" t="n">
        <v>0</v>
      </c>
      <c r="H23" s="80" t="n">
        <v>0</v>
      </c>
      <c r="I23" s="80" t="n">
        <v>0</v>
      </c>
      <c r="J23" s="80" t="n">
        <v>0</v>
      </c>
      <c r="K23" s="80" t="n">
        <v>0</v>
      </c>
      <c r="L23" s="80" t="n">
        <v>0</v>
      </c>
      <c r="M23" s="80" t="n">
        <v>0</v>
      </c>
      <c r="N23" s="81" t="n">
        <f aca="false">SUM(B23:M23)</f>
        <v>0</v>
      </c>
      <c r="O23" s="60" t="s">
        <v>236</v>
      </c>
    </row>
    <row r="24" customFormat="false" ht="15" hidden="false" customHeight="true" outlineLevel="0" collapsed="false">
      <c r="A24" s="24" t="s">
        <v>150</v>
      </c>
      <c r="B24" s="78" t="n">
        <f aca="false">SUM(B25:B27)</f>
        <v>0</v>
      </c>
      <c r="C24" s="78" t="n">
        <f aca="false">SUM(C25:C27)</f>
        <v>0</v>
      </c>
      <c r="D24" s="78" t="n">
        <f aca="false">SUM(D25:D27)</f>
        <v>0</v>
      </c>
      <c r="E24" s="78" t="n">
        <f aca="false">SUM(E25:E27)</f>
        <v>0</v>
      </c>
      <c r="F24" s="78" t="n">
        <f aca="false">SUM(F25:F27)</f>
        <v>0</v>
      </c>
      <c r="G24" s="78" t="n">
        <f aca="false">SUM(G25:G27)</f>
        <v>0</v>
      </c>
      <c r="H24" s="78" t="n">
        <f aca="false">SUM(H25:H27)</f>
        <v>0</v>
      </c>
      <c r="I24" s="78" t="n">
        <f aca="false">SUM(I25:I27)</f>
        <v>0</v>
      </c>
      <c r="J24" s="78" t="n">
        <f aca="false">SUM(J25:J27)</f>
        <v>0</v>
      </c>
      <c r="K24" s="78" t="n">
        <f aca="false">SUM(K25:K27)</f>
        <v>0</v>
      </c>
      <c r="L24" s="78" t="n">
        <f aca="false">SUM(L25:L27)</f>
        <v>0</v>
      </c>
      <c r="M24" s="78" t="n">
        <f aca="false">SUM(M25:M27)</f>
        <v>0</v>
      </c>
      <c r="N24" s="70" t="n">
        <f aca="false">SUM(B24:M24)</f>
        <v>0</v>
      </c>
      <c r="O24" s="60" t="s">
        <v>237</v>
      </c>
    </row>
    <row r="25" customFormat="false" ht="15" hidden="false" customHeight="true" outlineLevel="0" collapsed="false">
      <c r="A25" s="79" t="s">
        <v>238</v>
      </c>
      <c r="B25" s="80" t="n">
        <v>0</v>
      </c>
      <c r="C25" s="80" t="n">
        <v>0</v>
      </c>
      <c r="D25" s="80" t="n">
        <v>0</v>
      </c>
      <c r="E25" s="80" t="n">
        <v>0</v>
      </c>
      <c r="F25" s="80" t="n">
        <v>0</v>
      </c>
      <c r="G25" s="80" t="n">
        <v>0</v>
      </c>
      <c r="H25" s="80" t="n">
        <v>0</v>
      </c>
      <c r="I25" s="80" t="n">
        <v>0</v>
      </c>
      <c r="J25" s="80" t="n">
        <v>0</v>
      </c>
      <c r="K25" s="80" t="n">
        <v>0</v>
      </c>
      <c r="L25" s="80" t="n">
        <v>0</v>
      </c>
      <c r="M25" s="80" t="n">
        <v>0</v>
      </c>
      <c r="N25" s="81" t="n">
        <f aca="false">SUM(B25:M25)</f>
        <v>0</v>
      </c>
      <c r="O25" s="60" t="s">
        <v>239</v>
      </c>
    </row>
    <row r="26" customFormat="false" ht="15" hidden="false" customHeight="true" outlineLevel="0" collapsed="false">
      <c r="A26" s="79" t="s">
        <v>240</v>
      </c>
      <c r="B26" s="80" t="n">
        <v>0</v>
      </c>
      <c r="C26" s="80" t="n">
        <v>0</v>
      </c>
      <c r="D26" s="80" t="n">
        <v>0</v>
      </c>
      <c r="E26" s="80" t="n">
        <v>0</v>
      </c>
      <c r="F26" s="80" t="n">
        <v>0</v>
      </c>
      <c r="G26" s="80" t="n">
        <v>0</v>
      </c>
      <c r="H26" s="80" t="n">
        <v>0</v>
      </c>
      <c r="I26" s="80" t="n">
        <v>0</v>
      </c>
      <c r="J26" s="80" t="n">
        <v>0</v>
      </c>
      <c r="K26" s="80" t="n">
        <v>0</v>
      </c>
      <c r="L26" s="80" t="n">
        <v>0</v>
      </c>
      <c r="M26" s="80" t="n">
        <v>0</v>
      </c>
      <c r="N26" s="81" t="n">
        <f aca="false">SUM(B26:M26)</f>
        <v>0</v>
      </c>
      <c r="O26" s="60" t="s">
        <v>241</v>
      </c>
    </row>
    <row r="27" customFormat="false" ht="15" hidden="false" customHeight="true" outlineLevel="0" collapsed="false">
      <c r="A27" s="79" t="s">
        <v>152</v>
      </c>
      <c r="B27" s="80" t="n">
        <v>0</v>
      </c>
      <c r="C27" s="80" t="n">
        <v>0</v>
      </c>
      <c r="D27" s="80" t="n">
        <v>0</v>
      </c>
      <c r="E27" s="80" t="n">
        <v>0</v>
      </c>
      <c r="F27" s="80" t="n">
        <v>0</v>
      </c>
      <c r="G27" s="80" t="n">
        <v>0</v>
      </c>
      <c r="H27" s="80" t="n">
        <v>0</v>
      </c>
      <c r="I27" s="80" t="n">
        <v>0</v>
      </c>
      <c r="J27" s="80" t="n">
        <v>0</v>
      </c>
      <c r="K27" s="80" t="n">
        <v>0</v>
      </c>
      <c r="L27" s="80" t="n">
        <v>0</v>
      </c>
      <c r="M27" s="80" t="n">
        <v>0</v>
      </c>
      <c r="N27" s="81" t="n">
        <f aca="false">SUM(B27:M27)</f>
        <v>0</v>
      </c>
      <c r="O27" s="60" t="s">
        <v>242</v>
      </c>
    </row>
    <row r="28" customFormat="false" ht="15" hidden="false" customHeight="true" outlineLevel="0" collapsed="false">
      <c r="A28" s="24" t="s">
        <v>162</v>
      </c>
      <c r="B28" s="82" t="n">
        <v>0</v>
      </c>
      <c r="C28" s="82" t="n">
        <v>0</v>
      </c>
      <c r="D28" s="82" t="n">
        <v>0</v>
      </c>
      <c r="E28" s="82" t="n">
        <v>0</v>
      </c>
      <c r="F28" s="82" t="n">
        <v>0</v>
      </c>
      <c r="G28" s="82" t="n">
        <v>0</v>
      </c>
      <c r="H28" s="82" t="n">
        <v>0</v>
      </c>
      <c r="I28" s="82" t="n">
        <v>0</v>
      </c>
      <c r="J28" s="82" t="n">
        <v>0</v>
      </c>
      <c r="K28" s="82" t="n">
        <v>0</v>
      </c>
      <c r="L28" s="82" t="n">
        <v>0</v>
      </c>
      <c r="M28" s="82" t="n">
        <v>0</v>
      </c>
      <c r="N28" s="70" t="n">
        <f aca="false">SUM(B28:M28)</f>
        <v>0</v>
      </c>
      <c r="O28" s="60" t="s">
        <v>243</v>
      </c>
    </row>
    <row r="29" customFormat="false" ht="15" hidden="false" customHeight="true" outlineLevel="0" collapsed="false">
      <c r="A29" s="24" t="s">
        <v>168</v>
      </c>
      <c r="B29" s="82" t="n">
        <v>0</v>
      </c>
      <c r="C29" s="82" t="n">
        <v>0</v>
      </c>
      <c r="D29" s="82" t="n">
        <v>0</v>
      </c>
      <c r="E29" s="82" t="n">
        <v>0</v>
      </c>
      <c r="F29" s="82" t="n">
        <v>0</v>
      </c>
      <c r="G29" s="82" t="n">
        <v>0</v>
      </c>
      <c r="H29" s="82" t="n">
        <v>0</v>
      </c>
      <c r="I29" s="82" t="n">
        <v>0</v>
      </c>
      <c r="J29" s="82" t="n">
        <v>0</v>
      </c>
      <c r="K29" s="82" t="n">
        <v>0</v>
      </c>
      <c r="L29" s="82" t="n">
        <v>0</v>
      </c>
      <c r="M29" s="82" t="n">
        <v>0</v>
      </c>
      <c r="N29" s="70" t="n">
        <f aca="false">SUM(B29:M29)</f>
        <v>0</v>
      </c>
      <c r="O29" s="60" t="s">
        <v>244</v>
      </c>
    </row>
    <row r="30" customFormat="false" ht="15" hidden="false" customHeight="true" outlineLevel="0" collapsed="false">
      <c r="A30" s="24" t="s">
        <v>170</v>
      </c>
      <c r="B30" s="82" t="n">
        <v>0</v>
      </c>
      <c r="C30" s="82" t="n">
        <v>0</v>
      </c>
      <c r="D30" s="82" t="n">
        <v>0</v>
      </c>
      <c r="E30" s="82" t="n">
        <v>0</v>
      </c>
      <c r="F30" s="82" t="n">
        <v>0</v>
      </c>
      <c r="G30" s="82" t="n">
        <v>0</v>
      </c>
      <c r="H30" s="82" t="n">
        <v>0</v>
      </c>
      <c r="I30" s="82" t="n">
        <v>0</v>
      </c>
      <c r="J30" s="82" t="n">
        <v>0</v>
      </c>
      <c r="K30" s="82" t="n">
        <v>0</v>
      </c>
      <c r="L30" s="82" t="n">
        <v>0</v>
      </c>
      <c r="M30" s="82" t="n">
        <v>0</v>
      </c>
      <c r="N30" s="70" t="n">
        <f aca="false">SUM(B30:M30)</f>
        <v>0</v>
      </c>
      <c r="O30" s="60" t="s">
        <v>245</v>
      </c>
    </row>
    <row r="31" customFormat="false" ht="15" hidden="false" customHeight="true" outlineLevel="0" collapsed="false">
      <c r="A31" s="24" t="s">
        <v>246</v>
      </c>
      <c r="B31" s="73" t="n">
        <f aca="false">B16+B21+B24+B28+B29+B30</f>
        <v>0</v>
      </c>
      <c r="C31" s="73" t="n">
        <f aca="false">C16+C21+C24+C28+C29+C30</f>
        <v>0</v>
      </c>
      <c r="D31" s="73" t="n">
        <f aca="false">D16+D21+D24+D28+D29+D30</f>
        <v>0</v>
      </c>
      <c r="E31" s="73" t="n">
        <f aca="false">E16+E21+E24+E28+E29+E30</f>
        <v>0</v>
      </c>
      <c r="F31" s="73" t="n">
        <f aca="false">F16+F21+F24+F28+F29+F30</f>
        <v>0</v>
      </c>
      <c r="G31" s="73" t="n">
        <f aca="false">G16+G21+G24+G28+G29+G30</f>
        <v>0</v>
      </c>
      <c r="H31" s="73" t="n">
        <f aca="false">H16+H21+H24+H28+H29+H30</f>
        <v>0</v>
      </c>
      <c r="I31" s="73" t="n">
        <f aca="false">I16+I21+I24+I28+I29+I30</f>
        <v>0</v>
      </c>
      <c r="J31" s="73" t="n">
        <f aca="false">J16+J21+J24+J28+J29+J30</f>
        <v>0</v>
      </c>
      <c r="K31" s="73" t="n">
        <f aca="false">K16+K21+K24+K28+K29+K30</f>
        <v>0</v>
      </c>
      <c r="L31" s="73" t="n">
        <f aca="false">L16+L21+L24+L28+L29+L30</f>
        <v>0</v>
      </c>
      <c r="M31" s="73" t="n">
        <f aca="false">M16+M21+M24+M28+M29+M30</f>
        <v>0</v>
      </c>
      <c r="N31" s="73" t="n">
        <f aca="false">SUM(B31:M31)</f>
        <v>0</v>
      </c>
    </row>
    <row r="33" customFormat="false" ht="15" hidden="false" customHeight="true" outlineLevel="0" collapsed="false">
      <c r="A33" s="67" t="s">
        <v>247</v>
      </c>
      <c r="B33" s="68"/>
      <c r="C33" s="68"/>
      <c r="D33" s="68"/>
      <c r="E33" s="68"/>
      <c r="F33" s="68"/>
      <c r="G33" s="68"/>
      <c r="H33" s="68"/>
      <c r="I33" s="68"/>
      <c r="J33" s="68"/>
      <c r="K33" s="68"/>
      <c r="L33" s="68"/>
      <c r="M33" s="68"/>
      <c r="N33" s="68"/>
      <c r="O33" s="68"/>
    </row>
    <row r="34" customFormat="false" ht="15" hidden="false" customHeight="true" outlineLevel="0" collapsed="false">
      <c r="A34" s="24" t="s">
        <v>248</v>
      </c>
      <c r="B34" s="83" t="n">
        <v>5000</v>
      </c>
      <c r="C34" s="84" t="n">
        <f aca="false">B37</f>
        <v>14844</v>
      </c>
      <c r="D34" s="84" t="n">
        <f aca="false">C37</f>
        <v>24144</v>
      </c>
      <c r="E34" s="84" t="n">
        <f aca="false">D37</f>
        <v>40030</v>
      </c>
      <c r="F34" s="84" t="n">
        <f aca="false">E37</f>
        <v>52578.1907400079</v>
      </c>
      <c r="G34" s="84" t="n">
        <f aca="false">F37</f>
        <v>72027.8741590819</v>
      </c>
      <c r="H34" s="84" t="n">
        <f aca="false">G37</f>
        <v>128899.139717425</v>
      </c>
      <c r="I34" s="84" t="n">
        <f aca="false">H37</f>
        <v>154422.537309149</v>
      </c>
      <c r="J34" s="84" t="n">
        <f aca="false">I37</f>
        <v>171474.564331592</v>
      </c>
      <c r="K34" s="84" t="n">
        <f aca="false">J37</f>
        <v>224461.415664668</v>
      </c>
      <c r="L34" s="84" t="n">
        <f aca="false">K37</f>
        <v>244839.814330505</v>
      </c>
      <c r="M34" s="84" t="n">
        <f aca="false">L37</f>
        <v>294931.711685228</v>
      </c>
      <c r="O34" s="60" t="s">
        <v>249</v>
      </c>
    </row>
    <row r="35" customFormat="false" ht="15" hidden="false" customHeight="true" outlineLevel="0" collapsed="false">
      <c r="A35" s="20" t="s">
        <v>250</v>
      </c>
      <c r="B35" s="76" t="n">
        <f aca="false">B10</f>
        <v>9844</v>
      </c>
      <c r="C35" s="76" t="n">
        <f aca="false">C10</f>
        <v>9300</v>
      </c>
      <c r="D35" s="76" t="n">
        <f aca="false">D10</f>
        <v>15886</v>
      </c>
      <c r="E35" s="76" t="n">
        <f aca="false">E10</f>
        <v>12548.1907400079</v>
      </c>
      <c r="F35" s="76" t="n">
        <f aca="false">F10</f>
        <v>19449.683419074</v>
      </c>
      <c r="G35" s="76" t="n">
        <f aca="false">G10</f>
        <v>56871.2655583435</v>
      </c>
      <c r="H35" s="76" t="n">
        <f aca="false">H10</f>
        <v>25523.3975917237</v>
      </c>
      <c r="I35" s="76" t="n">
        <f aca="false">I10</f>
        <v>17052.0270224433</v>
      </c>
      <c r="J35" s="76" t="n">
        <f aca="false">J10</f>
        <v>52986.8513330753</v>
      </c>
      <c r="K35" s="76" t="n">
        <f aca="false">K10</f>
        <v>20378.3986658375</v>
      </c>
      <c r="L35" s="76" t="n">
        <f aca="false">L10</f>
        <v>50091.8973547228</v>
      </c>
      <c r="M35" s="76" t="n">
        <f aca="false">M10</f>
        <v>25414.2883147719</v>
      </c>
    </row>
    <row r="36" customFormat="false" ht="15" hidden="false" customHeight="true" outlineLevel="0" collapsed="false">
      <c r="A36" s="20" t="s">
        <v>251</v>
      </c>
      <c r="B36" s="84" t="n">
        <f aca="false">-B31</f>
        <v>-0</v>
      </c>
      <c r="C36" s="84" t="n">
        <f aca="false">-C31</f>
        <v>-0</v>
      </c>
      <c r="D36" s="84" t="n">
        <f aca="false">-D31</f>
        <v>-0</v>
      </c>
      <c r="E36" s="84" t="n">
        <f aca="false">-E31</f>
        <v>-0</v>
      </c>
      <c r="F36" s="84" t="n">
        <f aca="false">-F31</f>
        <v>-0</v>
      </c>
      <c r="G36" s="84" t="n">
        <f aca="false">-G31</f>
        <v>-0</v>
      </c>
      <c r="H36" s="84" t="n">
        <f aca="false">-H31</f>
        <v>-0</v>
      </c>
      <c r="I36" s="84" t="n">
        <f aca="false">-I31</f>
        <v>-0</v>
      </c>
      <c r="J36" s="84" t="n">
        <f aca="false">-J31</f>
        <v>-0</v>
      </c>
      <c r="K36" s="84" t="n">
        <f aca="false">-K31</f>
        <v>-0</v>
      </c>
      <c r="L36" s="84" t="n">
        <f aca="false">-L31</f>
        <v>-0</v>
      </c>
      <c r="M36" s="84" t="n">
        <f aca="false">-M31</f>
        <v>-0</v>
      </c>
    </row>
    <row r="37" customFormat="false" ht="15" hidden="false" customHeight="true" outlineLevel="0" collapsed="false">
      <c r="A37" s="24" t="s">
        <v>252</v>
      </c>
      <c r="B37" s="73" t="n">
        <f aca="false">B34+B35+B36</f>
        <v>14844</v>
      </c>
      <c r="C37" s="73" t="n">
        <f aca="false">C34+C35+C36</f>
        <v>24144</v>
      </c>
      <c r="D37" s="73" t="n">
        <f aca="false">D34+D35+D36</f>
        <v>40030</v>
      </c>
      <c r="E37" s="73" t="n">
        <f aca="false">E34+E35+E36</f>
        <v>52578.1907400079</v>
      </c>
      <c r="F37" s="73" t="n">
        <f aca="false">F34+F35+F36</f>
        <v>72027.8741590819</v>
      </c>
      <c r="G37" s="73" t="n">
        <f aca="false">G34+G35+G36</f>
        <v>128899.139717425</v>
      </c>
      <c r="H37" s="73" t="n">
        <f aca="false">H34+H35+H36</f>
        <v>154422.537309149</v>
      </c>
      <c r="I37" s="73" t="n">
        <f aca="false">I34+I35+I36</f>
        <v>171474.564331592</v>
      </c>
      <c r="J37" s="73" t="n">
        <f aca="false">J34+J35+J36</f>
        <v>224461.415664668</v>
      </c>
      <c r="K37" s="73" t="n">
        <f aca="false">K34+K35+K36</f>
        <v>244839.814330505</v>
      </c>
      <c r="L37" s="73" t="n">
        <f aca="false">L34+L35+L36</f>
        <v>294931.711685228</v>
      </c>
      <c r="M37" s="73" t="n">
        <f aca="false">M34+M35+M36</f>
        <v>320346</v>
      </c>
    </row>
    <row r="38" customFormat="false" ht="15" hidden="false" customHeight="true" outlineLevel="0" collapsed="false">
      <c r="A38" s="20" t="s">
        <v>253</v>
      </c>
      <c r="B38" s="85" t="n">
        <f aca="false">IF(C31&gt;0,B37/C31,0)</f>
        <v>0</v>
      </c>
      <c r="C38" s="85" t="n">
        <f aca="false">IF(D31&gt;0,C37/D31,0)</f>
        <v>0</v>
      </c>
      <c r="D38" s="85" t="n">
        <f aca="false">IF(E31&gt;0,D37/E31,0)</f>
        <v>0</v>
      </c>
      <c r="E38" s="85" t="n">
        <f aca="false">IF(F31&gt;0,E37/F31,0)</f>
        <v>0</v>
      </c>
      <c r="F38" s="85" t="n">
        <f aca="false">IF(G31&gt;0,F37/G31,0)</f>
        <v>0</v>
      </c>
      <c r="G38" s="85" t="n">
        <f aca="false">IF(H31&gt;0,G37/H31,0)</f>
        <v>0</v>
      </c>
      <c r="H38" s="85" t="n">
        <f aca="false">IF(I31&gt;0,H37/I31,0)</f>
        <v>0</v>
      </c>
      <c r="I38" s="85" t="n">
        <f aca="false">IF(J31&gt;0,I37/J31,0)</f>
        <v>0</v>
      </c>
      <c r="J38" s="85" t="n">
        <f aca="false">IF(K31&gt;0,J37/K31,0)</f>
        <v>0</v>
      </c>
      <c r="K38" s="85" t="n">
        <f aca="false">IF(L31&gt;0,K37/L31,0)</f>
        <v>0</v>
      </c>
      <c r="L38" s="85" t="n">
        <f aca="false">IF(M31&gt;0,L37/M31,0)</f>
        <v>0</v>
      </c>
      <c r="O38" s="60" t="s">
        <v>254</v>
      </c>
    </row>
    <row r="40" customFormat="false" ht="15" hidden="false" customHeight="true" outlineLevel="0" collapsed="false">
      <c r="A40" s="67" t="s">
        <v>255</v>
      </c>
      <c r="B40" s="68"/>
      <c r="C40" s="68"/>
      <c r="D40" s="68"/>
      <c r="E40" s="68"/>
      <c r="F40" s="68"/>
      <c r="G40" s="68"/>
      <c r="H40" s="68"/>
      <c r="I40" s="68"/>
      <c r="J40" s="68"/>
      <c r="K40" s="68"/>
      <c r="L40" s="68"/>
      <c r="M40" s="68"/>
      <c r="N40" s="68"/>
      <c r="O40" s="68"/>
    </row>
    <row r="41" customFormat="false" ht="15" hidden="false" customHeight="true" outlineLevel="0" collapsed="false">
      <c r="A41" s="86" t="s">
        <v>256</v>
      </c>
      <c r="C41" s="86" t="s">
        <v>257</v>
      </c>
    </row>
    <row r="42" customFormat="false" ht="15" hidden="false" customHeight="true" outlineLevel="0" collapsed="false">
      <c r="A42" s="87" t="s">
        <v>258</v>
      </c>
      <c r="B42" s="88" t="s">
        <v>259</v>
      </c>
      <c r="C42" s="89" t="s">
        <v>260</v>
      </c>
      <c r="D42" s="89"/>
      <c r="E42" s="89"/>
      <c r="F42" s="89"/>
      <c r="G42" s="89"/>
      <c r="H42" s="89"/>
      <c r="I42" s="89"/>
      <c r="J42" s="89"/>
      <c r="K42" s="89"/>
      <c r="L42" s="89"/>
      <c r="M42" s="89"/>
      <c r="N42" s="89"/>
    </row>
    <row r="43" customFormat="false" ht="15" hidden="false" customHeight="true" outlineLevel="0" collapsed="false">
      <c r="A43" s="90" t="s">
        <v>261</v>
      </c>
      <c r="B43" s="91" t="s">
        <v>262</v>
      </c>
      <c r="C43" s="92" t="s">
        <v>263</v>
      </c>
      <c r="D43" s="92"/>
      <c r="E43" s="92"/>
      <c r="F43" s="92"/>
      <c r="G43" s="92"/>
      <c r="H43" s="92"/>
      <c r="I43" s="92"/>
      <c r="J43" s="92"/>
      <c r="K43" s="92"/>
      <c r="L43" s="92"/>
      <c r="M43" s="92"/>
      <c r="N43" s="92"/>
    </row>
    <row r="44" customFormat="false" ht="15" hidden="false" customHeight="true" outlineLevel="0" collapsed="false">
      <c r="A44" s="87" t="s">
        <v>264</v>
      </c>
      <c r="B44" s="88" t="s">
        <v>265</v>
      </c>
      <c r="C44" s="89" t="s">
        <v>266</v>
      </c>
      <c r="D44" s="89"/>
      <c r="E44" s="89"/>
      <c r="F44" s="89"/>
      <c r="G44" s="89"/>
      <c r="H44" s="89"/>
      <c r="I44" s="89"/>
      <c r="J44" s="89"/>
      <c r="K44" s="89"/>
      <c r="L44" s="89"/>
      <c r="M44" s="89"/>
      <c r="N44" s="89"/>
    </row>
    <row r="45" customFormat="false" ht="15" hidden="false" customHeight="true" outlineLevel="0" collapsed="false">
      <c r="A45" s="90" t="s">
        <v>267</v>
      </c>
      <c r="B45" s="91" t="s">
        <v>268</v>
      </c>
      <c r="C45" s="92" t="s">
        <v>269</v>
      </c>
      <c r="D45" s="92"/>
      <c r="E45" s="92"/>
      <c r="F45" s="92"/>
      <c r="G45" s="92"/>
      <c r="H45" s="92"/>
      <c r="I45" s="92"/>
      <c r="J45" s="92"/>
      <c r="K45" s="92"/>
      <c r="L45" s="92"/>
      <c r="M45" s="92"/>
      <c r="N45" s="92"/>
    </row>
    <row r="46" customFormat="false" ht="15" hidden="false" customHeight="true" outlineLevel="0" collapsed="false">
      <c r="A46" s="87" t="s">
        <v>270</v>
      </c>
      <c r="B46" s="88" t="s">
        <v>271</v>
      </c>
      <c r="C46" s="89" t="s">
        <v>272</v>
      </c>
      <c r="D46" s="89"/>
      <c r="E46" s="89"/>
      <c r="F46" s="89"/>
      <c r="G46" s="89"/>
      <c r="H46" s="89"/>
      <c r="I46" s="89"/>
      <c r="J46" s="89"/>
      <c r="K46" s="89"/>
      <c r="L46" s="89"/>
      <c r="M46" s="89"/>
      <c r="N46" s="89"/>
    </row>
    <row r="47" customFormat="false" ht="15" hidden="false" customHeight="true" outlineLevel="0" collapsed="false">
      <c r="A47" s="90" t="s">
        <v>273</v>
      </c>
      <c r="B47" s="91" t="s">
        <v>274</v>
      </c>
      <c r="C47" s="92" t="s">
        <v>275</v>
      </c>
      <c r="D47" s="92"/>
      <c r="E47" s="92"/>
      <c r="F47" s="92"/>
      <c r="G47" s="92"/>
      <c r="H47" s="92"/>
      <c r="I47" s="92"/>
      <c r="J47" s="92"/>
      <c r="K47" s="92"/>
      <c r="L47" s="92"/>
      <c r="M47" s="92"/>
      <c r="N47" s="92"/>
    </row>
    <row r="48" customFormat="false" ht="15" hidden="false" customHeight="true" outlineLevel="0" collapsed="false">
      <c r="A48" s="87" t="s">
        <v>276</v>
      </c>
      <c r="B48" s="88" t="s">
        <v>277</v>
      </c>
      <c r="C48" s="89" t="s">
        <v>278</v>
      </c>
      <c r="D48" s="89"/>
      <c r="E48" s="89"/>
      <c r="F48" s="89"/>
      <c r="G48" s="89"/>
      <c r="H48" s="89"/>
      <c r="I48" s="89"/>
      <c r="J48" s="89"/>
      <c r="K48" s="89"/>
      <c r="L48" s="89"/>
      <c r="M48" s="89"/>
      <c r="N48" s="89"/>
    </row>
    <row r="50" customFormat="false" ht="15" hidden="false" customHeight="true" outlineLevel="0" collapsed="false">
      <c r="A50" s="67" t="s">
        <v>279</v>
      </c>
      <c r="B50" s="68"/>
      <c r="C50" s="68"/>
      <c r="D50" s="68"/>
      <c r="E50" s="68"/>
      <c r="F50" s="68"/>
      <c r="G50" s="68"/>
      <c r="H50" s="68"/>
      <c r="I50" s="68"/>
      <c r="J50" s="68"/>
      <c r="K50" s="68"/>
      <c r="L50" s="68"/>
      <c r="M50" s="68"/>
      <c r="N50" s="68"/>
      <c r="O50" s="68"/>
    </row>
    <row r="51" customFormat="false" ht="15" hidden="false" customHeight="true" outlineLevel="0" collapsed="false">
      <c r="A51" s="20" t="s">
        <v>280</v>
      </c>
      <c r="B51" s="76" t="n">
        <f aca="false">Dashboard!B23</f>
        <v>250000</v>
      </c>
      <c r="C51" s="20" t="s">
        <v>281</v>
      </c>
      <c r="D51" s="70" t="n">
        <f aca="false">N6</f>
        <v>0</v>
      </c>
      <c r="E51" s="20" t="s">
        <v>282</v>
      </c>
      <c r="F51" s="70" t="n">
        <f aca="false">B51-D51</f>
        <v>250000</v>
      </c>
    </row>
    <row r="52" customFormat="false" ht="15" hidden="false" customHeight="true" outlineLevel="0" collapsed="false">
      <c r="A52" s="20" t="s">
        <v>283</v>
      </c>
      <c r="B52" s="76" t="n">
        <f aca="false">Dashboard!B24</f>
        <v>150000</v>
      </c>
      <c r="C52" s="20" t="s">
        <v>284</v>
      </c>
      <c r="D52" s="70" t="n">
        <f aca="false">N7</f>
        <v>0</v>
      </c>
      <c r="E52" s="20" t="s">
        <v>282</v>
      </c>
      <c r="F52" s="70" t="n">
        <f aca="false">B52-D52</f>
        <v>150000</v>
      </c>
    </row>
    <row r="53" customFormat="false" ht="15" hidden="false" customHeight="true" outlineLevel="0" collapsed="false">
      <c r="A53" s="20" t="s">
        <v>285</v>
      </c>
      <c r="B53" s="76" t="n">
        <f aca="false">Dashboard!B25</f>
        <v>100000</v>
      </c>
      <c r="C53" s="20" t="s">
        <v>286</v>
      </c>
      <c r="D53" s="70" t="n">
        <f aca="false">N8</f>
        <v>0</v>
      </c>
      <c r="E53" s="20" t="s">
        <v>282</v>
      </c>
      <c r="F53" s="70" t="n">
        <f aca="false">B53-D53</f>
        <v>100000</v>
      </c>
    </row>
    <row r="54" customFormat="false" ht="15" hidden="false" customHeight="true" outlineLevel="0" collapsed="false">
      <c r="A54" s="24" t="s">
        <v>28</v>
      </c>
      <c r="B54" s="73" t="n">
        <f aca="false">B51+B52+B53</f>
        <v>500000</v>
      </c>
      <c r="C54" s="24" t="s">
        <v>287</v>
      </c>
      <c r="D54" s="73" t="n">
        <f aca="false">D51+D52+D53</f>
        <v>0</v>
      </c>
      <c r="E54" s="24" t="s">
        <v>282</v>
      </c>
      <c r="F54" s="73" t="n">
        <f aca="false">F51+F52+F53</f>
        <v>500000</v>
      </c>
    </row>
  </sheetData>
  <mergeCells count="7">
    <mergeCell ref="C42:N42"/>
    <mergeCell ref="C43:N43"/>
    <mergeCell ref="C44:N44"/>
    <mergeCell ref="C45:N45"/>
    <mergeCell ref="C46:N46"/>
    <mergeCell ref="C47:N47"/>
    <mergeCell ref="C48:N4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3533"/>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5"/>
    <col collapsed="false" customWidth="true" hidden="false" outlineLevel="0" max="5" min="2" style="1" width="18"/>
  </cols>
  <sheetData>
    <row r="1" customFormat="false" ht="19.5" hidden="false" customHeight="true" outlineLevel="0" collapsed="false">
      <c r="A1" s="2" t="s">
        <v>288</v>
      </c>
    </row>
    <row r="2" customFormat="false" ht="15" hidden="false" customHeight="true" outlineLevel="0" collapsed="false">
      <c r="A2" s="3" t="s">
        <v>289</v>
      </c>
    </row>
    <row r="4" customFormat="false" ht="15" hidden="false" customHeight="true" outlineLevel="0" collapsed="false">
      <c r="A4" s="4"/>
      <c r="B4" s="4" t="s">
        <v>290</v>
      </c>
      <c r="C4" s="4" t="s">
        <v>65</v>
      </c>
      <c r="D4" s="4" t="s">
        <v>291</v>
      </c>
      <c r="E4" s="4" t="s">
        <v>292</v>
      </c>
    </row>
    <row r="5" customFormat="false" ht="15" hidden="false" customHeight="true" outlineLevel="0" collapsed="false">
      <c r="A5" s="17" t="s">
        <v>293</v>
      </c>
      <c r="B5" s="18"/>
      <c r="C5" s="18"/>
      <c r="D5" s="18"/>
      <c r="E5" s="18"/>
    </row>
    <row r="6" customFormat="false" ht="15" hidden="false" customHeight="true" outlineLevel="0" collapsed="false">
      <c r="A6" s="7" t="s">
        <v>294</v>
      </c>
      <c r="B6" s="49" t="n">
        <v>29832</v>
      </c>
      <c r="C6" s="49" t="n">
        <v>44344</v>
      </c>
      <c r="D6" s="93" t="n">
        <f aca="false">IF(B6&gt;0,(C6-B6)/B6,IF(C6&gt;0,1,0))</f>
        <v>0.486457495307053</v>
      </c>
      <c r="E6" s="49" t="s">
        <v>295</v>
      </c>
    </row>
    <row r="7" customFormat="false" ht="15" hidden="false" customHeight="true" outlineLevel="0" collapsed="false">
      <c r="A7" s="9" t="s">
        <v>296</v>
      </c>
      <c r="B7" s="50" t="n">
        <v>2520</v>
      </c>
      <c r="C7" s="50" t="n">
        <v>26296</v>
      </c>
      <c r="D7" s="94" t="n">
        <f aca="false">IF(B7&gt;0,(C7-B7)/B7,IF(C7&gt;0,1,0))</f>
        <v>9.43492063492064</v>
      </c>
      <c r="E7" s="50" t="s">
        <v>297</v>
      </c>
    </row>
    <row r="8" customFormat="false" ht="15" hidden="false" customHeight="true" outlineLevel="0" collapsed="false">
      <c r="A8" s="7" t="s">
        <v>124</v>
      </c>
      <c r="B8" s="49" t="n">
        <v>20667</v>
      </c>
      <c r="C8" s="49" t="n">
        <v>48405</v>
      </c>
      <c r="D8" s="93" t="n">
        <f aca="false">IF(B8&gt;0,(C8-B8)/B8,IF(C8&gt;0,1,0))</f>
        <v>1.34213964290899</v>
      </c>
      <c r="E8" s="49" t="s">
        <v>297</v>
      </c>
    </row>
    <row r="9" customFormat="false" ht="15" hidden="false" customHeight="true" outlineLevel="0" collapsed="false">
      <c r="A9" s="9" t="s">
        <v>298</v>
      </c>
      <c r="B9" s="50" t="n">
        <v>0</v>
      </c>
      <c r="C9" s="50" t="n">
        <v>18230</v>
      </c>
      <c r="D9" s="94" t="n">
        <f aca="false">IF(B9&gt;0,(C9-B9)/B9,IF(C9&gt;0,1,0))</f>
        <v>1</v>
      </c>
      <c r="E9" s="50" t="s">
        <v>297</v>
      </c>
    </row>
    <row r="10" customFormat="false" ht="15" hidden="false" customHeight="true" outlineLevel="0" collapsed="false">
      <c r="A10" s="7" t="s">
        <v>299</v>
      </c>
      <c r="B10" s="49" t="n">
        <v>0</v>
      </c>
      <c r="C10" s="49" t="n">
        <v>2000</v>
      </c>
      <c r="D10" s="93" t="n">
        <f aca="false">IF(B10&gt;0,(C10-B10)/B10,IF(C10&gt;0,1,0))</f>
        <v>1</v>
      </c>
      <c r="E10" s="49" t="s">
        <v>297</v>
      </c>
    </row>
    <row r="11" customFormat="false" ht="15" hidden="false" customHeight="true" outlineLevel="0" collapsed="false">
      <c r="A11" s="9" t="s">
        <v>300</v>
      </c>
      <c r="B11" s="50" t="n">
        <v>0</v>
      </c>
      <c r="C11" s="50" t="n">
        <v>18250</v>
      </c>
      <c r="D11" s="94" t="n">
        <f aca="false">IF(B11&gt;0,(C11-B11)/B11,IF(C11&gt;0,1,0))</f>
        <v>1</v>
      </c>
      <c r="E11" s="50" t="s">
        <v>301</v>
      </c>
    </row>
    <row r="12" customFormat="false" ht="15" hidden="false" customHeight="true" outlineLevel="0" collapsed="false">
      <c r="A12" s="9" t="s">
        <v>302</v>
      </c>
      <c r="B12" s="50" t="n">
        <v>0</v>
      </c>
      <c r="C12" s="50" t="n">
        <v>37156</v>
      </c>
      <c r="D12" s="94" t="s">
        <v>303</v>
      </c>
      <c r="E12" s="50" t="s">
        <v>304</v>
      </c>
    </row>
    <row r="13" customFormat="false" ht="15" hidden="false" customHeight="true" outlineLevel="0" collapsed="false">
      <c r="A13" s="11" t="s">
        <v>6</v>
      </c>
      <c r="B13" s="48" t="n">
        <f aca="false">SUM(B6:B12)</f>
        <v>53019</v>
      </c>
      <c r="C13" s="48" t="n">
        <f aca="false">SUM(C6:C12)</f>
        <v>194681</v>
      </c>
      <c r="D13" s="48" t="n">
        <f aca="false">IF(B13&gt;0,(C13-B13)/B13,0)</f>
        <v>2.67191006997491</v>
      </c>
      <c r="E13" s="48"/>
    </row>
    <row r="15" customFormat="false" ht="15" hidden="false" customHeight="true" outlineLevel="0" collapsed="false">
      <c r="A15" s="17" t="s">
        <v>305</v>
      </c>
      <c r="B15" s="18"/>
      <c r="C15" s="18"/>
      <c r="D15" s="18"/>
      <c r="E15" s="18"/>
    </row>
    <row r="16" customFormat="false" ht="15" hidden="false" customHeight="true" outlineLevel="0" collapsed="false">
      <c r="A16" s="9" t="s">
        <v>306</v>
      </c>
      <c r="B16" s="50" t="n">
        <v>432</v>
      </c>
      <c r="C16" s="50" t="n">
        <v>19684</v>
      </c>
      <c r="D16" s="50"/>
      <c r="E16" s="50" t="s">
        <v>297</v>
      </c>
    </row>
    <row r="18" customFormat="false" ht="15" hidden="false" customHeight="true" outlineLevel="0" collapsed="false">
      <c r="A18" s="17" t="s">
        <v>307</v>
      </c>
      <c r="B18" s="18"/>
      <c r="C18" s="18"/>
      <c r="D18" s="18"/>
      <c r="E18" s="18"/>
    </row>
    <row r="19" customFormat="false" ht="15" hidden="false" customHeight="true" outlineLevel="0" collapsed="false">
      <c r="A19" s="11" t="s">
        <v>8</v>
      </c>
      <c r="B19" s="48" t="n">
        <f aca="false">B13-B16</f>
        <v>52587</v>
      </c>
      <c r="C19" s="48" t="n">
        <f aca="false">C13-C16</f>
        <v>174997</v>
      </c>
      <c r="D19" s="48"/>
      <c r="E19" s="48"/>
    </row>
    <row r="20" customFormat="false" ht="15" hidden="false" customHeight="true" outlineLevel="0" collapsed="false">
      <c r="A20" s="9" t="s">
        <v>9</v>
      </c>
      <c r="B20" s="94" t="n">
        <f aca="false">IF(B13&gt;0,B19/B13,0)</f>
        <v>0.991851977592938</v>
      </c>
      <c r="C20" s="94" t="n">
        <f aca="false">IF(C13&gt;0,C19/C13,0)</f>
        <v>0.898891006312891</v>
      </c>
      <c r="D20" s="94"/>
      <c r="E20" s="94"/>
    </row>
    <row r="22" customFormat="false" ht="15" hidden="false" customHeight="true" outlineLevel="0" collapsed="false">
      <c r="A22" s="9" t="s">
        <v>172</v>
      </c>
      <c r="B22" s="50" t="n">
        <v>53967</v>
      </c>
      <c r="C22" s="50" t="n">
        <v>100299</v>
      </c>
      <c r="D22" s="50"/>
      <c r="E22" s="50" t="s">
        <v>297</v>
      </c>
    </row>
    <row r="23" customFormat="false" ht="15" hidden="false" customHeight="true" outlineLevel="0" collapsed="false">
      <c r="A23" s="7" t="s">
        <v>308</v>
      </c>
      <c r="B23" s="93" t="n">
        <f aca="false">IF(B13&gt;0,B22/B13,0)</f>
        <v>1.01788038250439</v>
      </c>
      <c r="C23" s="93" t="n">
        <f aca="false">IF(C13&gt;0,C22/C13,0)</f>
        <v>0.51519665504081</v>
      </c>
      <c r="D23" s="93"/>
      <c r="E23" s="93"/>
    </row>
    <row r="25" customFormat="false" ht="15" hidden="false" customHeight="true" outlineLevel="0" collapsed="false">
      <c r="A25" s="11" t="s">
        <v>309</v>
      </c>
      <c r="B25" s="48" t="n">
        <f aca="false">B19-B22</f>
        <v>-1380</v>
      </c>
      <c r="C25" s="48" t="n">
        <f aca="false">C19-C22</f>
        <v>74698</v>
      </c>
      <c r="D25" s="48"/>
      <c r="E25" s="48"/>
    </row>
    <row r="26" customFormat="false" ht="15" hidden="false" customHeight="true" outlineLevel="0" collapsed="false">
      <c r="A26" s="9" t="s">
        <v>310</v>
      </c>
      <c r="B26" s="50" t="n">
        <v>101</v>
      </c>
      <c r="C26" s="50" t="n">
        <v>233</v>
      </c>
      <c r="D26" s="50"/>
      <c r="E26" s="50"/>
    </row>
    <row r="28" customFormat="false" ht="15" hidden="false" customHeight="true" outlineLevel="0" collapsed="false">
      <c r="A28" s="17" t="s">
        <v>311</v>
      </c>
      <c r="B28" s="18"/>
      <c r="C28" s="18"/>
      <c r="D28" s="18"/>
      <c r="E28" s="18"/>
    </row>
    <row r="29" customFormat="false" ht="15" hidden="false" customHeight="true" outlineLevel="0" collapsed="false">
      <c r="A29" s="11" t="s">
        <v>13</v>
      </c>
      <c r="B29" s="48" t="n">
        <f aca="false">B25-B26</f>
        <v>-1481</v>
      </c>
      <c r="C29" s="48" t="n">
        <f aca="false">C25-C26</f>
        <v>74465</v>
      </c>
      <c r="D29" s="48" t="n">
        <f aca="false">IF(ABS(B29)&gt;0,(C29-B29)/ABS(B29),0)</f>
        <v>51.2802160702228</v>
      </c>
      <c r="E29" s="48"/>
    </row>
    <row r="30" customFormat="false" ht="15" hidden="false" customHeight="true" outlineLevel="0" collapsed="false">
      <c r="A30" s="9" t="s">
        <v>312</v>
      </c>
      <c r="B30" s="94" t="n">
        <f aca="false">IF(B13&gt;0,B29/B13,0)</f>
        <v>-0.0279333823723571</v>
      </c>
      <c r="C30" s="94" t="n">
        <f aca="false">IF(C13&gt;0,C29/C13,0)</f>
        <v>0.382497521586596</v>
      </c>
      <c r="D30" s="94"/>
      <c r="E30" s="94"/>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57028"/>
    <pageSetUpPr fitToPage="false"/>
  </sheetPr>
  <dimension ref="A1:O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2"/>
    <col collapsed="false" customWidth="true" hidden="false" outlineLevel="0" max="13" min="2" style="1" width="12"/>
    <col collapsed="false" customWidth="true" hidden="false" outlineLevel="0" max="15" min="14" style="1" width="14"/>
  </cols>
  <sheetData>
    <row r="1" customFormat="false" ht="19.5" hidden="false" customHeight="true" outlineLevel="0" collapsed="false">
      <c r="A1" s="2" t="s">
        <v>313</v>
      </c>
    </row>
    <row r="2" customFormat="false" ht="15" hidden="false" customHeight="true" outlineLevel="0" collapsed="false">
      <c r="A2" s="3" t="s">
        <v>314</v>
      </c>
    </row>
    <row r="4" customFormat="false" ht="15" hidden="false" customHeight="true" outlineLevel="0" collapsed="false">
      <c r="A4" s="4"/>
      <c r="B4" s="95" t="s">
        <v>315</v>
      </c>
      <c r="C4" s="95" t="s">
        <v>316</v>
      </c>
      <c r="D4" s="95" t="s">
        <v>317</v>
      </c>
      <c r="E4" s="96" t="s">
        <v>318</v>
      </c>
      <c r="F4" s="96" t="s">
        <v>319</v>
      </c>
      <c r="G4" s="96" t="s">
        <v>320</v>
      </c>
      <c r="H4" s="96" t="s">
        <v>321</v>
      </c>
      <c r="I4" s="96" t="s">
        <v>322</v>
      </c>
      <c r="J4" s="96" t="s">
        <v>323</v>
      </c>
      <c r="K4" s="96" t="s">
        <v>324</v>
      </c>
      <c r="L4" s="96" t="s">
        <v>325</v>
      </c>
      <c r="M4" s="96" t="s">
        <v>326</v>
      </c>
      <c r="N4" s="4" t="s">
        <v>327</v>
      </c>
      <c r="O4" s="4" t="s">
        <v>328</v>
      </c>
    </row>
    <row r="5" customFormat="false" ht="15" hidden="false" customHeight="true" outlineLevel="0" collapsed="false">
      <c r="A5" s="17" t="s">
        <v>293</v>
      </c>
      <c r="B5" s="18"/>
      <c r="C5" s="18"/>
      <c r="D5" s="18"/>
      <c r="E5" s="18"/>
      <c r="F5" s="18"/>
      <c r="G5" s="18"/>
      <c r="H5" s="18"/>
      <c r="I5" s="18"/>
      <c r="J5" s="18"/>
      <c r="K5" s="18"/>
      <c r="L5" s="18"/>
      <c r="M5" s="18"/>
      <c r="N5" s="18"/>
      <c r="O5" s="18"/>
    </row>
    <row r="6" customFormat="false" ht="15" hidden="false" customHeight="true" outlineLevel="0" collapsed="false">
      <c r="A6" s="97" t="s">
        <v>298</v>
      </c>
      <c r="B6" s="98" t="n">
        <v>1886</v>
      </c>
      <c r="C6" s="98" t="n">
        <v>1886</v>
      </c>
      <c r="D6" s="98" t="n">
        <v>1886</v>
      </c>
      <c r="E6" s="99" t="n">
        <f aca="false">(Assumptions!C7-SUM($B6:$D6))*2200/39900</f>
        <v>2960.24060150376</v>
      </c>
      <c r="F6" s="99" t="n">
        <f aca="false">(Assumptions!C7-SUM($B6:$D6))*2500/39900</f>
        <v>3363.90977443609</v>
      </c>
      <c r="G6" s="99" t="n">
        <f aca="false">(Assumptions!C7-SUM($B6:$D6))*3000/39900</f>
        <v>4036.69172932331</v>
      </c>
      <c r="H6" s="99" t="n">
        <f aca="false">(Assumptions!C7-SUM($B6:$D6))*3500/39900</f>
        <v>4709.47368421053</v>
      </c>
      <c r="I6" s="99" t="n">
        <f aca="false">(Assumptions!C7-SUM($B6:$D6))*4200/39900</f>
        <v>5651.36842105263</v>
      </c>
      <c r="J6" s="99" t="n">
        <f aca="false">(Assumptions!C7-SUM($B6:$D6))*5000/39900</f>
        <v>6727.81954887218</v>
      </c>
      <c r="K6" s="99" t="n">
        <f aca="false">(Assumptions!C7-SUM($B6:$D6))*5800/39900</f>
        <v>7804.27067669173</v>
      </c>
      <c r="L6" s="99" t="n">
        <f aca="false">(Assumptions!C7-SUM($B6:$D6))*6500/39900</f>
        <v>8746.16541353383</v>
      </c>
      <c r="M6" s="99" t="n">
        <f aca="false">(Assumptions!C7-SUM($B6:$D6))*7200/39900</f>
        <v>9688.06015037594</v>
      </c>
      <c r="N6" s="100" t="n">
        <f aca="false">SUM(B6:D6)</f>
        <v>5658</v>
      </c>
      <c r="O6" s="100" t="n">
        <f aca="false">SUM(B6:M6)</f>
        <v>59346</v>
      </c>
    </row>
    <row r="7" customFormat="false" ht="15" hidden="false" customHeight="true" outlineLevel="0" collapsed="false">
      <c r="A7" s="97" t="s">
        <v>329</v>
      </c>
      <c r="B7" s="98" t="n">
        <v>4000</v>
      </c>
      <c r="C7" s="98" t="n">
        <v>3500</v>
      </c>
      <c r="D7" s="98" t="n">
        <v>14000</v>
      </c>
      <c r="E7" s="99" t="n">
        <f aca="false">(Assumptions!C17-SUM($B7:$D7))*3500/49000</f>
        <v>4107.14285714286</v>
      </c>
      <c r="F7" s="99" t="n">
        <f aca="false">(Assumptions!C17-SUM($B7:$D7))*3500/49000</f>
        <v>4107.14285714286</v>
      </c>
      <c r="G7" s="99" t="n">
        <f aca="false">(Assumptions!C17-SUM($B7:$D7))*4500/49000</f>
        <v>5280.61224489796</v>
      </c>
      <c r="H7" s="99" t="n">
        <f aca="false">(Assumptions!C17-SUM($B7:$D7))*5000/49000</f>
        <v>5867.34693877551</v>
      </c>
      <c r="I7" s="99" t="n">
        <f aca="false">(Assumptions!C17-SUM($B7:$D7))*5500/49000</f>
        <v>6454.08163265306</v>
      </c>
      <c r="J7" s="99" t="n">
        <f aca="false">(Assumptions!C17-SUM($B7:$D7))*6000/49000</f>
        <v>7040.81632653061</v>
      </c>
      <c r="K7" s="99" t="n">
        <f aca="false">(Assumptions!C17-SUM($B7:$D7))*6500/49000</f>
        <v>7627.55102040816</v>
      </c>
      <c r="L7" s="99" t="n">
        <f aca="false">(Assumptions!C17-SUM($B7:$D7))*7000/49000</f>
        <v>8214.28571428571</v>
      </c>
      <c r="M7" s="99" t="n">
        <f aca="false">(Assumptions!C17-SUM($B7:$D7))*7500/49000</f>
        <v>8801.02040816327</v>
      </c>
      <c r="N7" s="100" t="n">
        <f aca="false">SUM(B7:D7)</f>
        <v>21500</v>
      </c>
      <c r="O7" s="100" t="n">
        <f aca="false">SUM(B7:M7)</f>
        <v>79000</v>
      </c>
    </row>
    <row r="8" customFormat="false" ht="15" hidden="false" customHeight="true" outlineLevel="0" collapsed="false">
      <c r="A8" s="97" t="s">
        <v>330</v>
      </c>
      <c r="B8" s="98" t="n">
        <v>3958</v>
      </c>
      <c r="C8" s="98" t="n">
        <v>3914</v>
      </c>
      <c r="D8" s="98" t="n">
        <v>0</v>
      </c>
      <c r="E8" s="99" t="n">
        <v>0</v>
      </c>
      <c r="F8" s="99" t="n">
        <v>0</v>
      </c>
      <c r="G8" s="99" t="n">
        <f aca="false">(Assumptions!C25-SUM($B8:$D8))*28000/52000</f>
        <v>42607.3846153846</v>
      </c>
      <c r="H8" s="99" t="n">
        <v>0</v>
      </c>
      <c r="I8" s="99" t="n">
        <v>0</v>
      </c>
      <c r="J8" s="99" t="n">
        <f aca="false">(Assumptions!C25-SUM($B8:$D8))*14000/52000</f>
        <v>21303.6923076923</v>
      </c>
      <c r="K8" s="99" t="n">
        <v>0</v>
      </c>
      <c r="L8" s="99" t="n">
        <f aca="false">(Assumptions!C25-SUM($B8:$D8))*10000/52000</f>
        <v>15216.9230769231</v>
      </c>
      <c r="M8" s="99" t="n">
        <v>0</v>
      </c>
      <c r="N8" s="100" t="n">
        <f aca="false">SUM(B8:D8)</f>
        <v>7872</v>
      </c>
      <c r="O8" s="100" t="n">
        <f aca="false">SUM(B8:M8)</f>
        <v>87000</v>
      </c>
    </row>
    <row r="9" customFormat="false" ht="15" hidden="false" customHeight="true" outlineLevel="0" collapsed="false">
      <c r="A9" s="97" t="s">
        <v>300</v>
      </c>
      <c r="B9" s="98" t="n">
        <v>0</v>
      </c>
      <c r="C9" s="98" t="n">
        <v>0</v>
      </c>
      <c r="D9" s="98" t="n">
        <v>0</v>
      </c>
      <c r="E9" s="99" t="n">
        <f aca="false">(Assumptions!C34-SUM($B9:$D9))*5540/50540</f>
        <v>5480.8072813613</v>
      </c>
      <c r="F9" s="99" t="n">
        <f aca="false">(Assumptions!C34-SUM($B9:$D9))*2000/50540</f>
        <v>1978.63078749505</v>
      </c>
      <c r="G9" s="99" t="n">
        <f aca="false">(Assumptions!C34-SUM($B9:$D9))*5000/50540</f>
        <v>4946.57696873763</v>
      </c>
      <c r="H9" s="99" t="n">
        <f aca="false">(Assumptions!C34-SUM($B9:$D9))*5000/50540</f>
        <v>4946.57696873763</v>
      </c>
      <c r="I9" s="99" t="n">
        <f aca="false">(Assumptions!C34-SUM($B9:$D9))*5000/50540</f>
        <v>4946.57696873763</v>
      </c>
      <c r="J9" s="99" t="n">
        <f aca="false">(Assumptions!C34-SUM($B9:$D9))*8000/50540</f>
        <v>7914.52314998021</v>
      </c>
      <c r="K9" s="99" t="n">
        <f aca="false">(Assumptions!C34-SUM($B9:$D9))*5000/50540</f>
        <v>4946.57696873763</v>
      </c>
      <c r="L9" s="99" t="n">
        <f aca="false">(Assumptions!C34-SUM($B9:$D9))*8000/50540</f>
        <v>7914.52314998021</v>
      </c>
      <c r="M9" s="99" t="n">
        <f aca="false">(Assumptions!C34-SUM($B9:$D9))*7000/50540</f>
        <v>6925.20775623269</v>
      </c>
      <c r="N9" s="100" t="n">
        <f aca="false">SUM(B9:D9)</f>
        <v>0</v>
      </c>
      <c r="O9" s="100" t="n">
        <f aca="false">SUM(B9:M9)</f>
        <v>50000</v>
      </c>
    </row>
    <row r="10" customFormat="false" ht="15" hidden="false" customHeight="true" outlineLevel="0" collapsed="false">
      <c r="A10" s="97" t="s">
        <v>302</v>
      </c>
      <c r="B10" s="98" t="n">
        <v>0</v>
      </c>
      <c r="C10" s="98" t="n">
        <v>0</v>
      </c>
      <c r="D10" s="98" t="n">
        <v>0</v>
      </c>
      <c r="E10" s="99" t="n">
        <v>0</v>
      </c>
      <c r="F10" s="99" t="n">
        <f aca="false">(Assumptions!C40-SUM($B10:$D10))*10000/40000</f>
        <v>10000</v>
      </c>
      <c r="G10" s="99" t="n">
        <v>0</v>
      </c>
      <c r="H10" s="99" t="n">
        <f aca="false">(Assumptions!C40-SUM($B10:$D10))*10000/40000</f>
        <v>10000</v>
      </c>
      <c r="I10" s="99" t="n">
        <v>0</v>
      </c>
      <c r="J10" s="99" t="n">
        <f aca="false">(Assumptions!C40-SUM($B10:$D10))*10000/40000</f>
        <v>10000</v>
      </c>
      <c r="K10" s="99" t="n">
        <v>0</v>
      </c>
      <c r="L10" s="99" t="n">
        <f aca="false">(Assumptions!C40-SUM($B10:$D10))*10000/40000</f>
        <v>10000</v>
      </c>
      <c r="M10" s="99" t="n">
        <v>0</v>
      </c>
      <c r="N10" s="100" t="n">
        <f aca="false">SUM(B10:D10)</f>
        <v>0</v>
      </c>
      <c r="O10" s="100" t="n">
        <f aca="false">SUM(B10:M10)</f>
        <v>40000</v>
      </c>
    </row>
    <row r="11" customFormat="false" ht="15" hidden="false" customHeight="true" outlineLevel="0" collapsed="false">
      <c r="A11" s="101" t="s">
        <v>6</v>
      </c>
      <c r="B11" s="102" t="n">
        <v>9844</v>
      </c>
      <c r="C11" s="102" t="n">
        <v>9300</v>
      </c>
      <c r="D11" s="102" t="n">
        <f aca="false">SUM(D6:D10)</f>
        <v>15886</v>
      </c>
      <c r="E11" s="102" t="n">
        <f aca="false">SUM(E6:E10)</f>
        <v>12548.1907400079</v>
      </c>
      <c r="F11" s="102" t="n">
        <f aca="false">SUM(F6:F10)</f>
        <v>19449.683419074</v>
      </c>
      <c r="G11" s="102" t="n">
        <f aca="false">SUM(G6:G10)</f>
        <v>56871.2655583435</v>
      </c>
      <c r="H11" s="102" t="n">
        <f aca="false">SUM(H6:H10)</f>
        <v>25523.3975917237</v>
      </c>
      <c r="I11" s="102" t="n">
        <f aca="false">SUM(I6:I10)</f>
        <v>17052.0270224433</v>
      </c>
      <c r="J11" s="102" t="n">
        <f aca="false">SUM(J6:J10)</f>
        <v>52986.8513330753</v>
      </c>
      <c r="K11" s="102" t="n">
        <f aca="false">SUM(K6:K10)</f>
        <v>20378.3986658375</v>
      </c>
      <c r="L11" s="102" t="n">
        <f aca="false">SUM(L6:L10)</f>
        <v>50091.8973547228</v>
      </c>
      <c r="M11" s="102" t="n">
        <f aca="false">SUM(M6:M10)</f>
        <v>25414.2883147719</v>
      </c>
      <c r="N11" s="102" t="n">
        <f aca="false">SUM(B11:D11)</f>
        <v>35030</v>
      </c>
      <c r="O11" s="102" t="n">
        <f aca="false">SUM(B11:M11)</f>
        <v>315346</v>
      </c>
    </row>
    <row r="13" customFormat="false" ht="15" hidden="false" customHeight="true" outlineLevel="0" collapsed="false">
      <c r="A13" s="97" t="s">
        <v>331</v>
      </c>
      <c r="B13" s="98" t="n">
        <f aca="false">-ABS(B11*0.1)</f>
        <v>-984.4</v>
      </c>
      <c r="C13" s="98" t="n">
        <f aca="false">-ABS(C11*0.1)</f>
        <v>-930</v>
      </c>
      <c r="D13" s="98" t="n">
        <f aca="false">-ABS(D11*0.1)</f>
        <v>-1588.6</v>
      </c>
      <c r="E13" s="99" t="n">
        <f aca="false">-ABS(E11*0.1)</f>
        <v>-1254.81907400079</v>
      </c>
      <c r="F13" s="99" t="n">
        <f aca="false">-ABS(F11*0.1)</f>
        <v>-1944.9683419074</v>
      </c>
      <c r="G13" s="99" t="n">
        <f aca="false">-ABS(G11*0.1)</f>
        <v>-5687.12655583435</v>
      </c>
      <c r="H13" s="99" t="n">
        <f aca="false">-ABS(H11*0.1)</f>
        <v>-2552.33975917237</v>
      </c>
      <c r="I13" s="99" t="n">
        <f aca="false">-ABS(I11*0.1)</f>
        <v>-1705.20270224433</v>
      </c>
      <c r="J13" s="99" t="n">
        <f aca="false">-ABS(J11*0.1)</f>
        <v>-5298.68513330753</v>
      </c>
      <c r="K13" s="99" t="n">
        <f aca="false">-ABS(K11*0.1)</f>
        <v>-2037.83986658375</v>
      </c>
      <c r="L13" s="99" t="n">
        <f aca="false">-ABS(L11*0.1)</f>
        <v>-5009.18973547228</v>
      </c>
      <c r="M13" s="99" t="n">
        <f aca="false">-ABS(M11*0.1)</f>
        <v>-2541.42883147719</v>
      </c>
      <c r="N13" s="100" t="n">
        <f aca="false">SUM(B13:D13)</f>
        <v>-3503</v>
      </c>
      <c r="O13" s="100" t="n">
        <f aca="false">SUM(B13:M13)</f>
        <v>-31534.6</v>
      </c>
    </row>
    <row r="14" customFormat="false" ht="15" hidden="false" customHeight="true" outlineLevel="0" collapsed="false">
      <c r="A14" s="101" t="s">
        <v>8</v>
      </c>
      <c r="B14" s="102" t="n">
        <f aca="false">B11+B13</f>
        <v>8859.6</v>
      </c>
      <c r="C14" s="102" t="n">
        <f aca="false">C11+C13</f>
        <v>8370</v>
      </c>
      <c r="D14" s="102" t="n">
        <f aca="false">D11+D13</f>
        <v>14297.4</v>
      </c>
      <c r="E14" s="102" t="n">
        <f aca="false">E11+E13</f>
        <v>11293.3716660071</v>
      </c>
      <c r="F14" s="102" t="n">
        <f aca="false">F11+F13</f>
        <v>17504.7150771666</v>
      </c>
      <c r="G14" s="102" t="n">
        <f aca="false">G11+G13</f>
        <v>51184.1390025092</v>
      </c>
      <c r="H14" s="102" t="n">
        <f aca="false">H11+H13</f>
        <v>22971.0578325513</v>
      </c>
      <c r="I14" s="102" t="n">
        <f aca="false">I11+I13</f>
        <v>15346.824320199</v>
      </c>
      <c r="J14" s="102" t="n">
        <f aca="false">J11+J13</f>
        <v>47688.1661997678</v>
      </c>
      <c r="K14" s="102" t="n">
        <f aca="false">K11+K13</f>
        <v>18340.5587992538</v>
      </c>
      <c r="L14" s="102" t="n">
        <f aca="false">L11+L13</f>
        <v>45082.7076192506</v>
      </c>
      <c r="M14" s="102" t="n">
        <f aca="false">M11+M13</f>
        <v>22872.8594832947</v>
      </c>
      <c r="N14" s="102" t="n">
        <f aca="false">N11+N13</f>
        <v>31527</v>
      </c>
      <c r="O14" s="102" t="n">
        <f aca="false">O11+O13</f>
        <v>283811.4</v>
      </c>
    </row>
    <row r="16" customFormat="false" ht="15" hidden="false" customHeight="true" outlineLevel="0" collapsed="false">
      <c r="A16" s="17" t="s">
        <v>332</v>
      </c>
      <c r="B16" s="18"/>
      <c r="C16" s="18"/>
      <c r="D16" s="18"/>
      <c r="E16" s="18"/>
      <c r="F16" s="18"/>
      <c r="G16" s="18"/>
      <c r="H16" s="18"/>
      <c r="I16" s="18"/>
      <c r="J16" s="18"/>
      <c r="K16" s="18"/>
      <c r="L16" s="18"/>
      <c r="M16" s="18"/>
      <c r="N16" s="18"/>
      <c r="O16" s="18"/>
    </row>
    <row r="17" customFormat="false" ht="15" hidden="false" customHeight="true" outlineLevel="0" collapsed="false">
      <c r="A17" s="97" t="s">
        <v>130</v>
      </c>
      <c r="B17" s="98" t="n">
        <v>1135</v>
      </c>
      <c r="C17" s="98" t="n">
        <v>349</v>
      </c>
      <c r="D17" s="98" t="n">
        <v>1160</v>
      </c>
      <c r="E17" s="99" t="n">
        <f aca="false">(Assumptions!C47-SUM($B17:$D17))*1160/142575</f>
        <v>1442.98060669823</v>
      </c>
      <c r="F17" s="99" t="n">
        <f aca="false">(Assumptions!C47-SUM($B17:$D17))*8000/142575</f>
        <v>9951.59039102227</v>
      </c>
      <c r="G17" s="99" t="n">
        <f aca="false">(Assumptions!C47-SUM($B17:$D17))*14417/142575</f>
        <v>17934.009833421</v>
      </c>
      <c r="H17" s="99" t="n">
        <f aca="false">(Assumptions!C47-SUM($B17:$D17))*19833/142575</f>
        <v>24671.2365281431</v>
      </c>
      <c r="I17" s="99" t="n">
        <f aca="false">(Assumptions!C47-SUM($B17:$D17))*19833/142575</f>
        <v>24671.2365281431</v>
      </c>
      <c r="J17" s="99" t="n">
        <f aca="false">(Assumptions!C47-SUM($B17:$D17))*19833/142575</f>
        <v>24671.2365281431</v>
      </c>
      <c r="K17" s="99" t="n">
        <f aca="false">(Assumptions!C47-SUM($B17:$D17))*19833/142575</f>
        <v>24671.2365281431</v>
      </c>
      <c r="L17" s="99" t="n">
        <f aca="false">(Assumptions!C47-SUM($B17:$D17))*19833/142575</f>
        <v>24671.2365281431</v>
      </c>
      <c r="M17" s="99" t="n">
        <f aca="false">(Assumptions!C47-SUM($B17:$D17))*19833/142575</f>
        <v>24671.2365281431</v>
      </c>
      <c r="N17" s="100" t="n">
        <f aca="false">SUM(B17:D17)</f>
        <v>2644</v>
      </c>
      <c r="O17" s="100" t="n">
        <f aca="false">SUM(B17:M17)</f>
        <v>180000</v>
      </c>
    </row>
    <row r="18" customFormat="false" ht="15" hidden="false" customHeight="true" outlineLevel="0" collapsed="false">
      <c r="A18" s="97" t="s">
        <v>144</v>
      </c>
      <c r="B18" s="98" t="n">
        <v>80</v>
      </c>
      <c r="C18" s="98" t="n">
        <v>84</v>
      </c>
      <c r="D18" s="98" t="n">
        <v>100</v>
      </c>
      <c r="E18" s="99" t="n">
        <f aca="false">(Assumptions!C54-SUM($B18:$D18))*3500/61000</f>
        <v>4861.90163934426</v>
      </c>
      <c r="F18" s="99" t="n">
        <f aca="false">(Assumptions!C54-SUM($B18:$D18))*5000/61000</f>
        <v>6945.5737704918</v>
      </c>
      <c r="G18" s="99" t="n">
        <f aca="false">(Assumptions!C54-SUM($B18:$D18))*7500/61000</f>
        <v>10418.3606557377</v>
      </c>
      <c r="H18" s="99" t="n">
        <f aca="false">(Assumptions!C54-SUM($B18:$D18))*7500/61000</f>
        <v>10418.3606557377</v>
      </c>
      <c r="I18" s="99" t="n">
        <f aca="false">(Assumptions!C54-SUM($B18:$D18))*7500/61000</f>
        <v>10418.3606557377</v>
      </c>
      <c r="J18" s="99" t="n">
        <f aca="false">(Assumptions!C54-SUM($B18:$D18))*7500/61000</f>
        <v>10418.3606557377</v>
      </c>
      <c r="K18" s="99" t="n">
        <f aca="false">(Assumptions!C54-SUM($B18:$D18))*7500/61000</f>
        <v>10418.3606557377</v>
      </c>
      <c r="L18" s="99" t="n">
        <f aca="false">(Assumptions!C54-SUM($B18:$D18))*7500/61000</f>
        <v>10418.3606557377</v>
      </c>
      <c r="M18" s="99" t="n">
        <f aca="false">(Assumptions!C54-SUM($B18:$D18))*7500/61000</f>
        <v>10418.3606557377</v>
      </c>
      <c r="N18" s="100" t="n">
        <f aca="false">SUM(B18:D18)</f>
        <v>264</v>
      </c>
      <c r="O18" s="100" t="n">
        <f aca="false">SUM(B18:M18)</f>
        <v>85000</v>
      </c>
    </row>
    <row r="19" customFormat="false" ht="15" hidden="false" customHeight="true" outlineLevel="0" collapsed="false">
      <c r="A19" s="97" t="s">
        <v>150</v>
      </c>
      <c r="B19" s="98" t="n">
        <v>0</v>
      </c>
      <c r="C19" s="98" t="n">
        <v>0</v>
      </c>
      <c r="D19" s="98" t="n">
        <v>500</v>
      </c>
      <c r="E19" s="99" t="n">
        <f aca="false">(Assumptions!C57-SUM($B19:$D19))*3000/92000</f>
        <v>3570.65217391304</v>
      </c>
      <c r="F19" s="99" t="n">
        <f aca="false">(Assumptions!C57-SUM($B19:$D19))*5000/92000</f>
        <v>5951.08695652174</v>
      </c>
      <c r="G19" s="99" t="n">
        <f aca="false">(Assumptions!C57-SUM($B19:$D19))*8000/92000</f>
        <v>9521.73913043478</v>
      </c>
      <c r="H19" s="99" t="n">
        <f aca="false">(Assumptions!C57-SUM($B19:$D19))*10000/92000</f>
        <v>11902.1739130435</v>
      </c>
      <c r="I19" s="99" t="n">
        <f aca="false">(Assumptions!C57-SUM($B19:$D19))*12000/92000</f>
        <v>14282.6086956522</v>
      </c>
      <c r="J19" s="99" t="n">
        <f aca="false">(Assumptions!C57-SUM($B19:$D19))*12000/92000</f>
        <v>14282.6086956522</v>
      </c>
      <c r="K19" s="99" t="n">
        <f aca="false">(Assumptions!C57-SUM($B19:$D19))*14000/92000</f>
        <v>16663.0434782609</v>
      </c>
      <c r="L19" s="99" t="n">
        <f aca="false">(Assumptions!C57-SUM($B19:$D19))*14000/92000</f>
        <v>16663.0434782609</v>
      </c>
      <c r="M19" s="99" t="n">
        <f aca="false">(Assumptions!C57-SUM($B19:$D19))*14000/92000</f>
        <v>16663.0434782609</v>
      </c>
      <c r="N19" s="100" t="n">
        <f aca="false">SUM(B19:D19)</f>
        <v>500</v>
      </c>
      <c r="O19" s="100" t="n">
        <f aca="false">SUM(B19:M19)</f>
        <v>110000</v>
      </c>
    </row>
    <row r="20" customFormat="false" ht="15" hidden="false" customHeight="true" outlineLevel="0" collapsed="false">
      <c r="A20" s="97" t="s">
        <v>162</v>
      </c>
      <c r="B20" s="98" t="n">
        <v>2844</v>
      </c>
      <c r="C20" s="98" t="n">
        <v>7611</v>
      </c>
      <c r="D20" s="98" t="n">
        <v>2000</v>
      </c>
      <c r="E20" s="99" t="n">
        <f aca="false">(Assumptions!C63-SUM($B20:$D20))*2000/38000</f>
        <v>2502.36842105263</v>
      </c>
      <c r="F20" s="99" t="n">
        <f aca="false">(Assumptions!C63-SUM($B20:$D20))*3000/38000</f>
        <v>3753.55263157895</v>
      </c>
      <c r="G20" s="99" t="n">
        <f aca="false">(Assumptions!C63-SUM($B20:$D20))*4000/38000</f>
        <v>5004.73684210526</v>
      </c>
      <c r="H20" s="99" t="n">
        <f aca="false">(Assumptions!C63-SUM($B20:$D20))*4000/38000</f>
        <v>5004.73684210526</v>
      </c>
      <c r="I20" s="99" t="n">
        <f aca="false">(Assumptions!C63-SUM($B20:$D20))*5000/38000</f>
        <v>6255.92105263158</v>
      </c>
      <c r="J20" s="99" t="n">
        <f aca="false">(Assumptions!C63-SUM($B20:$D20))*5000/38000</f>
        <v>6255.92105263158</v>
      </c>
      <c r="K20" s="99" t="n">
        <f aca="false">(Assumptions!C63-SUM($B20:$D20))*5000/38000</f>
        <v>6255.92105263158</v>
      </c>
      <c r="L20" s="99" t="n">
        <f aca="false">(Assumptions!C63-SUM($B20:$D20))*5000/38000</f>
        <v>6255.92105263158</v>
      </c>
      <c r="M20" s="99" t="n">
        <f aca="false">(Assumptions!C63-SUM($B20:$D20))*5000/38000</f>
        <v>6255.92105263158</v>
      </c>
      <c r="N20" s="100" t="n">
        <f aca="false">SUM(B20:D20)</f>
        <v>12455</v>
      </c>
      <c r="O20" s="100" t="n">
        <f aca="false">SUM(B20:M20)</f>
        <v>60000</v>
      </c>
    </row>
    <row r="21" customFormat="false" ht="15" hidden="false" customHeight="true" outlineLevel="0" collapsed="false">
      <c r="A21" s="97" t="s">
        <v>168</v>
      </c>
      <c r="B21" s="98" t="n">
        <v>0</v>
      </c>
      <c r="C21" s="98" t="n">
        <v>0</v>
      </c>
      <c r="D21" s="98" t="n">
        <v>50</v>
      </c>
      <c r="E21" s="99" t="n">
        <f aca="false">(Assumptions!C66-SUM($B21:$D21))*2000/40000</f>
        <v>2247.5</v>
      </c>
      <c r="F21" s="99" t="n">
        <f aca="false">(Assumptions!C66-SUM($B21:$D21))*3000/40000</f>
        <v>3371.25</v>
      </c>
      <c r="G21" s="99" t="n">
        <f aca="false">(Assumptions!C66-SUM($B21:$D21))*5000/40000</f>
        <v>5618.75</v>
      </c>
      <c r="H21" s="99" t="n">
        <f aca="false">(Assumptions!C66-SUM($B21:$D21))*5000/40000</f>
        <v>5618.75</v>
      </c>
      <c r="I21" s="99" t="n">
        <f aca="false">(Assumptions!C66-SUM($B21:$D21))*5000/40000</f>
        <v>5618.75</v>
      </c>
      <c r="J21" s="99" t="n">
        <f aca="false">(Assumptions!C66-SUM($B21:$D21))*5000/40000</f>
        <v>5618.75</v>
      </c>
      <c r="K21" s="99" t="n">
        <f aca="false">(Assumptions!C66-SUM($B21:$D21))*5000/40000</f>
        <v>5618.75</v>
      </c>
      <c r="L21" s="99" t="n">
        <f aca="false">(Assumptions!C66-SUM($B21:$D21))*5000/40000</f>
        <v>5618.75</v>
      </c>
      <c r="M21" s="99" t="n">
        <f aca="false">(Assumptions!C66-SUM($B21:$D21))*5000/40000</f>
        <v>5618.75</v>
      </c>
      <c r="N21" s="100" t="n">
        <f aca="false">SUM(B21:D21)</f>
        <v>50</v>
      </c>
      <c r="O21" s="100" t="n">
        <f aca="false">SUM(B21:M21)</f>
        <v>45000</v>
      </c>
    </row>
    <row r="22" customFormat="false" ht="15" hidden="false" customHeight="true" outlineLevel="0" collapsed="false">
      <c r="A22" s="97" t="s">
        <v>170</v>
      </c>
      <c r="B22" s="98" t="n">
        <v>540</v>
      </c>
      <c r="C22" s="98" t="n">
        <v>451</v>
      </c>
      <c r="D22" s="98" t="n">
        <v>200</v>
      </c>
      <c r="E22" s="99" t="n">
        <f aca="false">(Assumptions!C67-SUM($B22:$D22))*500/14500</f>
        <v>579.620689655172</v>
      </c>
      <c r="F22" s="99" t="n">
        <f aca="false">(Assumptions!C67-SUM($B22:$D22))*1000/14500</f>
        <v>1159.24137931034</v>
      </c>
      <c r="G22" s="99" t="n">
        <f aca="false">(Assumptions!C67-SUM($B22:$D22))*1500/14500</f>
        <v>1738.86206896552</v>
      </c>
      <c r="H22" s="99" t="n">
        <f aca="false">(Assumptions!C67-SUM($B22:$D22))*1500/14500</f>
        <v>1738.86206896552</v>
      </c>
      <c r="I22" s="99" t="n">
        <f aca="false">(Assumptions!C67-SUM($B22:$D22))*2000/14500</f>
        <v>2318.48275862069</v>
      </c>
      <c r="J22" s="99" t="n">
        <f aca="false">(Assumptions!C67-SUM($B22:$D22))*2000/14500</f>
        <v>2318.48275862069</v>
      </c>
      <c r="K22" s="99" t="n">
        <f aca="false">(Assumptions!C67-SUM($B22:$D22))*2000/14500</f>
        <v>2318.48275862069</v>
      </c>
      <c r="L22" s="99" t="n">
        <f aca="false">(Assumptions!C67-SUM($B22:$D22))*2000/14500</f>
        <v>2318.48275862069</v>
      </c>
      <c r="M22" s="99" t="n">
        <f aca="false">(Assumptions!C67-SUM($B22:$D22))*2000/14500</f>
        <v>2318.48275862069</v>
      </c>
      <c r="N22" s="100" t="n">
        <f aca="false">SUM(B22:D22)</f>
        <v>1191</v>
      </c>
      <c r="O22" s="100" t="n">
        <f aca="false">SUM(B22:M22)</f>
        <v>18000</v>
      </c>
    </row>
    <row r="25" customFormat="false" ht="15" hidden="false" customHeight="true" outlineLevel="0" collapsed="false">
      <c r="A25" s="101" t="s">
        <v>172</v>
      </c>
      <c r="B25" s="102" t="n">
        <v>4599</v>
      </c>
      <c r="C25" s="102" t="n">
        <v>8495</v>
      </c>
      <c r="D25" s="102" t="n">
        <f aca="false">SUM(D17:D22)</f>
        <v>4010</v>
      </c>
      <c r="E25" s="102" t="n">
        <f aca="false">SUM(E17:E22)</f>
        <v>15205.0235306633</v>
      </c>
      <c r="F25" s="102" t="n">
        <f aca="false">SUM(F17:F22)</f>
        <v>31132.2951289251</v>
      </c>
      <c r="G25" s="102" t="n">
        <f aca="false">SUM(G17:G22)</f>
        <v>50236.4585306643</v>
      </c>
      <c r="H25" s="102" t="n">
        <f aca="false">SUM(H17:H22)</f>
        <v>59354.120007995</v>
      </c>
      <c r="I25" s="102" t="n">
        <f aca="false">SUM(I17:I22)</f>
        <v>63565.3596907852</v>
      </c>
      <c r="J25" s="102" t="n">
        <f aca="false">SUM(J17:J22)</f>
        <v>63565.3596907852</v>
      </c>
      <c r="K25" s="102" t="n">
        <f aca="false">SUM(K17:K22)</f>
        <v>65945.7944733939</v>
      </c>
      <c r="L25" s="102" t="n">
        <f aca="false">SUM(L17:L22)</f>
        <v>65945.7944733939</v>
      </c>
      <c r="M25" s="102" t="n">
        <f aca="false">SUM(M17:M22)</f>
        <v>65945.7944733939</v>
      </c>
      <c r="N25" s="102" t="n">
        <f aca="false">SUM(B25:D25)</f>
        <v>17104</v>
      </c>
      <c r="O25" s="102" t="n">
        <f aca="false">SUM(B25:M25)</f>
        <v>498000</v>
      </c>
    </row>
    <row r="27" customFormat="false" ht="15" hidden="false" customHeight="true" outlineLevel="0" collapsed="false">
      <c r="A27" s="17" t="s">
        <v>307</v>
      </c>
      <c r="B27" s="18"/>
      <c r="C27" s="18"/>
      <c r="D27" s="18"/>
      <c r="E27" s="18"/>
      <c r="F27" s="18"/>
      <c r="G27" s="18"/>
      <c r="H27" s="18"/>
      <c r="I27" s="18"/>
      <c r="J27" s="18"/>
      <c r="K27" s="18"/>
      <c r="L27" s="18"/>
      <c r="M27" s="18"/>
      <c r="N27" s="18"/>
      <c r="O27" s="18"/>
    </row>
    <row r="28" customFormat="false" ht="15" hidden="false" customHeight="true" outlineLevel="0" collapsed="false">
      <c r="A28" s="101" t="s">
        <v>309</v>
      </c>
      <c r="B28" s="102" t="n">
        <f aca="false">B14-B25</f>
        <v>4260.6</v>
      </c>
      <c r="C28" s="102" t="n">
        <f aca="false">C14-C25</f>
        <v>-125</v>
      </c>
      <c r="D28" s="102" t="n">
        <f aca="false">D14-D25</f>
        <v>10287.4</v>
      </c>
      <c r="E28" s="102" t="n">
        <f aca="false">E14-E25</f>
        <v>-3911.65186465622</v>
      </c>
      <c r="F28" s="102" t="n">
        <f aca="false">F14-F25</f>
        <v>-13627.5800517585</v>
      </c>
      <c r="G28" s="102" t="n">
        <f aca="false">G14-G25</f>
        <v>947.680471844898</v>
      </c>
      <c r="H28" s="102" t="n">
        <f aca="false">H14-H25</f>
        <v>-36383.0621754437</v>
      </c>
      <c r="I28" s="102" t="n">
        <f aca="false">I14-I25</f>
        <v>-48218.5353705862</v>
      </c>
      <c r="J28" s="102" t="n">
        <f aca="false">J14-J25</f>
        <v>-15877.1934910175</v>
      </c>
      <c r="K28" s="102" t="n">
        <f aca="false">K14-K25</f>
        <v>-47605.2356741401</v>
      </c>
      <c r="L28" s="102" t="n">
        <f aca="false">L14-L25</f>
        <v>-20863.0868541434</v>
      </c>
      <c r="M28" s="102" t="n">
        <f aca="false">M14-M25</f>
        <v>-43072.9349900992</v>
      </c>
      <c r="N28" s="102" t="n">
        <f aca="false">N14-N25</f>
        <v>14423</v>
      </c>
      <c r="O28" s="102" t="n">
        <f aca="false">O14-O25</f>
        <v>-214188.6</v>
      </c>
    </row>
    <row r="29" customFormat="false" ht="15" hidden="false" customHeight="true" outlineLevel="0" collapsed="false">
      <c r="A29" s="103" t="s">
        <v>11</v>
      </c>
      <c r="B29" s="104" t="n">
        <f aca="false">IF(B11&gt;0,B28/B11,0)</f>
        <v>0.43281186509549</v>
      </c>
      <c r="C29" s="104" t="n">
        <f aca="false">IF(C11&gt;0,C28/C11,0)</f>
        <v>-0.0134408602150538</v>
      </c>
      <c r="D29" s="104" t="n">
        <f aca="false">IF(D11&gt;0,D28/D11,0)</f>
        <v>0.647576482437366</v>
      </c>
      <c r="E29" s="105" t="n">
        <f aca="false">IF(E11&gt;0,E28/E11,0)</f>
        <v>-0.311730347880714</v>
      </c>
      <c r="F29" s="105" t="n">
        <f aca="false">IF(F11&gt;0,F28/F11,0)</f>
        <v>-0.700658193664692</v>
      </c>
      <c r="G29" s="105" t="n">
        <f aca="false">IF(G11&gt;0,G28/G11,0)</f>
        <v>0.0166636079317188</v>
      </c>
      <c r="H29" s="105" t="n">
        <f aca="false">IF(H11&gt;0,H28/H11,0)</f>
        <v>-1.42547880017516</v>
      </c>
      <c r="I29" s="105" t="n">
        <f aca="false">IF(I11&gt;0,I28/I11,0)</f>
        <v>-2.82773041041529</v>
      </c>
      <c r="J29" s="105" t="n">
        <f aca="false">IF(J11&gt;0,J28/J11,0)</f>
        <v>-0.299644026613573</v>
      </c>
      <c r="K29" s="105" t="n">
        <f aca="false">IF(K11&gt;0,K28/K11,0)</f>
        <v>-2.33606361592807</v>
      </c>
      <c r="L29" s="105" t="n">
        <f aca="false">IF(L11&gt;0,L28/L11,0)</f>
        <v>-0.416496239030489</v>
      </c>
      <c r="M29" s="105" t="n">
        <f aca="false">IF(M11&gt;0,M28/M11,0)</f>
        <v>-1.69483144507585</v>
      </c>
      <c r="N29" s="106" t="n">
        <f aca="false">IF(N11&gt;0,N28/N11,0)</f>
        <v>0.411732800456751</v>
      </c>
      <c r="O29" s="106" t="n">
        <f aca="false">IF(O11&gt;0,O28/O11,0)</f>
        <v>-0.679217748124283</v>
      </c>
    </row>
    <row r="31" customFormat="false" ht="15" hidden="false" customHeight="true" outlineLevel="0" collapsed="false">
      <c r="A31" s="17" t="s">
        <v>333</v>
      </c>
      <c r="B31" s="18"/>
      <c r="C31" s="18"/>
      <c r="D31" s="18"/>
      <c r="E31" s="18"/>
      <c r="F31" s="18"/>
      <c r="G31" s="18"/>
      <c r="H31" s="18"/>
      <c r="I31" s="18"/>
      <c r="J31" s="18"/>
      <c r="K31" s="18"/>
      <c r="L31" s="18"/>
      <c r="M31" s="18"/>
      <c r="N31" s="18"/>
      <c r="O31" s="18"/>
    </row>
    <row r="32" customFormat="false" ht="15" hidden="false" customHeight="true" outlineLevel="0" collapsed="false">
      <c r="A32" s="97" t="s">
        <v>174</v>
      </c>
      <c r="B32" s="98" t="n">
        <v>0</v>
      </c>
      <c r="C32" s="98" t="n">
        <v>0</v>
      </c>
      <c r="D32" s="98" t="n">
        <v>0</v>
      </c>
      <c r="E32" s="99" t="n">
        <v>0</v>
      </c>
      <c r="F32" s="99" t="n">
        <v>250000</v>
      </c>
      <c r="G32" s="99" t="n">
        <v>250000</v>
      </c>
      <c r="H32" s="99" t="n">
        <v>0</v>
      </c>
      <c r="I32" s="99" t="n">
        <v>0</v>
      </c>
      <c r="J32" s="99" t="n">
        <v>0</v>
      </c>
      <c r="K32" s="99" t="n">
        <v>0</v>
      </c>
      <c r="L32" s="99" t="n">
        <v>0</v>
      </c>
      <c r="M32" s="99" t="n">
        <v>0</v>
      </c>
      <c r="N32" s="100" t="n">
        <f aca="false">SUM(B32:D32)</f>
        <v>0</v>
      </c>
      <c r="O32" s="100" t="n">
        <f aca="false">SUM(B32:M32)</f>
        <v>500000</v>
      </c>
    </row>
    <row r="33" customFormat="false" ht="15" hidden="false" customHeight="true" outlineLevel="0" collapsed="false">
      <c r="A33" s="101" t="s">
        <v>334</v>
      </c>
      <c r="B33" s="102" t="n">
        <f aca="false">B28+B32</f>
        <v>4260.6</v>
      </c>
      <c r="C33" s="102" t="n">
        <f aca="false">C28+C32</f>
        <v>-125</v>
      </c>
      <c r="D33" s="102" t="n">
        <f aca="false">D28+D32</f>
        <v>10287.4</v>
      </c>
      <c r="E33" s="102" t="n">
        <f aca="false">E28+E32</f>
        <v>-3911.65186465622</v>
      </c>
      <c r="F33" s="102" t="n">
        <f aca="false">F28+F32</f>
        <v>236372.419948242</v>
      </c>
      <c r="G33" s="102" t="n">
        <f aca="false">G28+G32</f>
        <v>250947.680471845</v>
      </c>
      <c r="H33" s="102" t="n">
        <f aca="false">H28+H32</f>
        <v>-36383.0621754437</v>
      </c>
      <c r="I33" s="102" t="n">
        <f aca="false">I28+I32</f>
        <v>-48218.5353705862</v>
      </c>
      <c r="J33" s="102" t="n">
        <f aca="false">J28+J32</f>
        <v>-15877.1934910175</v>
      </c>
      <c r="K33" s="102" t="n">
        <f aca="false">K28+K32</f>
        <v>-47605.2356741401</v>
      </c>
      <c r="L33" s="102" t="n">
        <f aca="false">L28+L32</f>
        <v>-20863.0868541434</v>
      </c>
      <c r="M33" s="102" t="n">
        <f aca="false">M28+M32</f>
        <v>-43072.9349900992</v>
      </c>
      <c r="N33" s="102" t="n">
        <f aca="false">N28+N32</f>
        <v>14423</v>
      </c>
      <c r="O33" s="102" t="n">
        <f aca="false">O28+O32</f>
        <v>285811.4</v>
      </c>
    </row>
    <row r="34" customFormat="false" ht="15" hidden="false" customHeight="true" outlineLevel="0" collapsed="false">
      <c r="A34" s="101" t="s">
        <v>335</v>
      </c>
      <c r="B34" s="102" t="n">
        <f aca="false">5000+B33</f>
        <v>9260.6</v>
      </c>
      <c r="C34" s="102" t="n">
        <f aca="false">B34+C33</f>
        <v>9135.6</v>
      </c>
      <c r="D34" s="102" t="n">
        <f aca="false">C34+D33</f>
        <v>19423</v>
      </c>
      <c r="E34" s="102" t="n">
        <f aca="false">D34+E33</f>
        <v>15511.3481353438</v>
      </c>
      <c r="F34" s="102" t="n">
        <f aca="false">E34+F33</f>
        <v>251883.768083585</v>
      </c>
      <c r="G34" s="102" t="n">
        <f aca="false">F34+G33</f>
        <v>502831.44855543</v>
      </c>
      <c r="H34" s="102" t="n">
        <f aca="false">G34+H33</f>
        <v>466448.386379986</v>
      </c>
      <c r="I34" s="102" t="n">
        <f aca="false">H34+I33</f>
        <v>418229.8510094</v>
      </c>
      <c r="J34" s="102" t="n">
        <f aca="false">I34+J33</f>
        <v>402352.657518383</v>
      </c>
      <c r="K34" s="102" t="n">
        <f aca="false">J34+K33</f>
        <v>354747.421844243</v>
      </c>
      <c r="L34" s="102" t="n">
        <f aca="false">K34+L33</f>
        <v>333884.334990099</v>
      </c>
      <c r="M34" s="102" t="n">
        <f aca="false">L34+M33</f>
        <v>290811.4</v>
      </c>
      <c r="N34" s="102" t="n">
        <f aca="false">D34</f>
        <v>19423</v>
      </c>
      <c r="O34" s="102" t="n">
        <f aca="false">M34</f>
        <v>290811.4</v>
      </c>
    </row>
    <row r="36" customFormat="false" ht="15" hidden="false" customHeight="true" outlineLevel="0" collapsed="false">
      <c r="A36" s="107" t="s">
        <v>336</v>
      </c>
    </row>
    <row r="37" customFormat="false" ht="15" hidden="false" customHeight="true" outlineLevel="0" collapsed="false">
      <c r="A37" s="40" t="s">
        <v>337</v>
      </c>
    </row>
    <row r="38" customFormat="false" ht="15" hidden="false" customHeight="true" outlineLevel="0" collapsed="false">
      <c r="A38" s="40" t="s">
        <v>338</v>
      </c>
    </row>
    <row r="39" customFormat="false" ht="15" hidden="false" customHeight="true" outlineLevel="0" collapsed="false">
      <c r="A39" s="40" t="s">
        <v>339</v>
      </c>
    </row>
    <row r="40" customFormat="false" ht="15" hidden="false" customHeight="true" outlineLevel="0" collapsed="false">
      <c r="A40" s="40" t="s">
        <v>340</v>
      </c>
    </row>
    <row r="41" customFormat="false" ht="15" hidden="false" customHeight="true" outlineLevel="0" collapsed="false">
      <c r="A41" s="40" t="s">
        <v>341</v>
      </c>
    </row>
    <row r="43" customFormat="false" ht="15" hidden="false" customHeight="true" outlineLevel="0" collapsed="false">
      <c r="A43" s="17" t="s">
        <v>342</v>
      </c>
      <c r="B43" s="18"/>
      <c r="C43" s="18"/>
      <c r="D43" s="18"/>
      <c r="E43" s="18"/>
      <c r="F43" s="18"/>
      <c r="G43" s="18"/>
      <c r="H43" s="18"/>
      <c r="I43" s="18"/>
      <c r="J43" s="18"/>
      <c r="K43" s="18"/>
      <c r="L43" s="18"/>
      <c r="M43" s="18"/>
      <c r="N43" s="18"/>
      <c r="O43" s="18"/>
    </row>
    <row r="44" customFormat="false" ht="15" hidden="false" customHeight="true" outlineLevel="0" collapsed="false">
      <c r="A44" s="23" t="s">
        <v>343</v>
      </c>
      <c r="B44" s="23"/>
      <c r="C44" s="23"/>
      <c r="D44" s="23"/>
      <c r="E44" s="23"/>
      <c r="F44" s="23"/>
      <c r="G44" s="23"/>
      <c r="H44" s="23"/>
      <c r="I44" s="23"/>
      <c r="J44" s="23"/>
    </row>
    <row r="45" customFormat="false" ht="15" hidden="false" customHeight="true" outlineLevel="0" collapsed="false">
      <c r="A45" s="23" t="s">
        <v>344</v>
      </c>
      <c r="B45" s="23"/>
      <c r="C45" s="23"/>
      <c r="D45" s="23"/>
      <c r="E45" s="23"/>
      <c r="F45" s="23"/>
      <c r="G45" s="23"/>
      <c r="H45" s="23"/>
      <c r="I45" s="23"/>
      <c r="J45" s="23"/>
    </row>
    <row r="46" customFormat="false" ht="15" hidden="false" customHeight="true" outlineLevel="0" collapsed="false">
      <c r="A46" s="23" t="s">
        <v>345</v>
      </c>
      <c r="B46" s="23"/>
      <c r="C46" s="23"/>
      <c r="D46" s="23"/>
      <c r="E46" s="23"/>
      <c r="F46" s="23"/>
      <c r="G46" s="23"/>
      <c r="H46" s="23"/>
      <c r="I46" s="23"/>
      <c r="J46" s="23"/>
    </row>
    <row r="47" customFormat="false" ht="15" hidden="false" customHeight="true" outlineLevel="0" collapsed="false">
      <c r="A47" s="23" t="s">
        <v>346</v>
      </c>
      <c r="B47" s="23"/>
      <c r="C47" s="23"/>
      <c r="D47" s="23"/>
      <c r="E47" s="23"/>
      <c r="F47" s="23"/>
      <c r="G47" s="23"/>
      <c r="H47" s="23"/>
      <c r="I47" s="23"/>
      <c r="J47" s="23"/>
    </row>
    <row r="48" customFormat="false" ht="15" hidden="false" customHeight="true" outlineLevel="0" collapsed="false">
      <c r="A48" s="23" t="s">
        <v>347</v>
      </c>
      <c r="B48" s="23"/>
      <c r="C48" s="23"/>
      <c r="D48" s="23"/>
      <c r="E48" s="23"/>
      <c r="F48" s="23"/>
      <c r="G48" s="23"/>
      <c r="H48" s="23"/>
      <c r="I48" s="23"/>
      <c r="J48" s="23"/>
    </row>
    <row r="49" customFormat="false" ht="15" hidden="false" customHeight="true" outlineLevel="0" collapsed="false">
      <c r="A49" s="23" t="s">
        <v>348</v>
      </c>
      <c r="B49" s="23"/>
      <c r="C49" s="23"/>
      <c r="D49" s="23"/>
      <c r="E49" s="23"/>
      <c r="F49" s="23"/>
      <c r="G49" s="23"/>
      <c r="H49" s="23"/>
      <c r="I49" s="23"/>
      <c r="J49" s="23"/>
    </row>
    <row r="50" customFormat="false" ht="15" hidden="false" customHeight="true" outlineLevel="0" collapsed="false">
      <c r="A50" s="108" t="s">
        <v>349</v>
      </c>
      <c r="B50" s="108"/>
      <c r="C50" s="108"/>
      <c r="D50" s="108"/>
      <c r="E50" s="108"/>
      <c r="F50" s="108"/>
      <c r="G50" s="108"/>
      <c r="H50" s="108"/>
      <c r="I50" s="108"/>
      <c r="J50" s="108"/>
    </row>
  </sheetData>
  <mergeCells count="7">
    <mergeCell ref="A44:J44"/>
    <mergeCell ref="A45:J45"/>
    <mergeCell ref="A46:J46"/>
    <mergeCell ref="A47:J47"/>
    <mergeCell ref="A48:J48"/>
    <mergeCell ref="A49:J49"/>
    <mergeCell ref="A50:J5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17E36"/>
    <outlinePr summaryBelow="0"/>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1" outlineLevelCol="0"/>
  <cols>
    <col collapsed="false" customWidth="true" hidden="false" outlineLevel="0" max="1" min="1" style="1" width="38"/>
    <col collapsed="false" customWidth="true" hidden="false" outlineLevel="0" max="5" min="2" style="1" width="18"/>
    <col collapsed="false" customWidth="true" hidden="false" outlineLevel="0" max="6" min="6" style="1" width="36"/>
  </cols>
  <sheetData>
    <row r="1" customFormat="false" ht="19.5" hidden="false" customHeight="true" outlineLevel="0" collapsed="false">
      <c r="A1" s="2" t="s">
        <v>350</v>
      </c>
    </row>
    <row r="2" customFormat="false" ht="15" hidden="false" customHeight="true" outlineLevel="0" collapsed="false">
      <c r="A2" s="3" t="s">
        <v>351</v>
      </c>
    </row>
    <row r="4" customFormat="false" ht="15" hidden="false" customHeight="true" outlineLevel="0" collapsed="false">
      <c r="A4" s="4"/>
      <c r="B4" s="4" t="s">
        <v>65</v>
      </c>
      <c r="C4" s="4" t="s">
        <v>66</v>
      </c>
      <c r="D4" s="4" t="s">
        <v>67</v>
      </c>
      <c r="E4" s="4" t="s">
        <v>68</v>
      </c>
    </row>
    <row r="5" customFormat="false" ht="15" hidden="false" customHeight="true" outlineLevel="0" collapsed="false">
      <c r="A5" s="17" t="s">
        <v>293</v>
      </c>
      <c r="B5" s="18"/>
      <c r="C5" s="18"/>
      <c r="D5" s="18"/>
      <c r="E5" s="18"/>
    </row>
    <row r="6" customFormat="false" ht="15" hidden="false" customHeight="true" outlineLevel="0" collapsed="false">
      <c r="A6" s="7" t="s">
        <v>298</v>
      </c>
      <c r="B6" s="109" t="n">
        <f aca="false">Assumptions!B7</f>
        <v>18230</v>
      </c>
      <c r="C6" s="109" t="n">
        <f aca="false">Assumptions!C7</f>
        <v>59346</v>
      </c>
      <c r="D6" s="109" t="n">
        <f aca="false">Assumptions!D7</f>
        <v>205530</v>
      </c>
      <c r="E6" s="109" t="n">
        <f aca="false">Assumptions!E7</f>
        <v>502500</v>
      </c>
    </row>
    <row r="7" customFormat="false" ht="15" hidden="false" customHeight="true" outlineLevel="1" collapsed="false">
      <c r="A7" s="44" t="s">
        <v>352</v>
      </c>
      <c r="B7" s="10" t="n">
        <f aca="false">Assumptions!B9</f>
        <v>1100</v>
      </c>
      <c r="C7" s="10" t="n">
        <f aca="false">Assumptions!C9</f>
        <v>1176</v>
      </c>
      <c r="D7" s="10" t="n">
        <f aca="false">Assumptions!D9</f>
        <v>630</v>
      </c>
      <c r="E7" s="10" t="n">
        <f aca="false">Assumptions!E9</f>
        <v>0</v>
      </c>
    </row>
    <row r="8" customFormat="false" ht="15" hidden="false" customHeight="true" outlineLevel="1" collapsed="false">
      <c r="A8" s="42" t="s">
        <v>353</v>
      </c>
      <c r="B8" s="109" t="n">
        <f aca="false">Assumptions!B11</f>
        <v>400</v>
      </c>
      <c r="C8" s="109" t="n">
        <f aca="false">Assumptions!C11</f>
        <v>2640</v>
      </c>
      <c r="D8" s="109" t="n">
        <f aca="false">Assumptions!D11</f>
        <v>14400</v>
      </c>
      <c r="E8" s="109" t="n">
        <f aca="false">Assumptions!E11</f>
        <v>42000</v>
      </c>
    </row>
    <row r="9" customFormat="false" ht="15" hidden="false" customHeight="true" outlineLevel="1" collapsed="false">
      <c r="A9" s="44" t="s">
        <v>354</v>
      </c>
      <c r="B9" s="10" t="n">
        <f aca="false">Assumptions!B13</f>
        <v>15830</v>
      </c>
      <c r="C9" s="10" t="n">
        <f aca="false">Assumptions!C13</f>
        <v>46080</v>
      </c>
      <c r="D9" s="10" t="n">
        <f aca="false">Assumptions!D13</f>
        <v>144000</v>
      </c>
      <c r="E9" s="10" t="n">
        <f aca="false">Assumptions!E13</f>
        <v>333000</v>
      </c>
    </row>
    <row r="10" customFormat="false" ht="15" hidden="false" customHeight="true" outlineLevel="1" collapsed="false">
      <c r="A10" s="42" t="s">
        <v>355</v>
      </c>
      <c r="B10" s="109" t="n">
        <f aca="false">Assumptions!B15</f>
        <v>900</v>
      </c>
      <c r="C10" s="109" t="n">
        <f aca="false">Assumptions!C15</f>
        <v>9450</v>
      </c>
      <c r="D10" s="109" t="n">
        <f aca="false">Assumptions!D15</f>
        <v>46500</v>
      </c>
      <c r="E10" s="109" t="n">
        <f aca="false">Assumptions!E15</f>
        <v>127500</v>
      </c>
    </row>
    <row r="12" customFormat="false" ht="15" hidden="false" customHeight="true" outlineLevel="0" collapsed="false">
      <c r="A12" s="7" t="s">
        <v>299</v>
      </c>
      <c r="B12" s="109" t="n">
        <f aca="false">Assumptions!B17</f>
        <v>2000</v>
      </c>
      <c r="C12" s="109" t="n">
        <f aca="false">Assumptions!C17</f>
        <v>79000</v>
      </c>
      <c r="D12" s="109" t="n">
        <f aca="false">Assumptions!D17</f>
        <v>177000</v>
      </c>
      <c r="E12" s="109" t="n">
        <f aca="false">Assumptions!E17</f>
        <v>420000</v>
      </c>
    </row>
    <row r="13" customFormat="false" ht="15" hidden="false" customHeight="true" outlineLevel="1" collapsed="false">
      <c r="A13" s="44" t="s">
        <v>356</v>
      </c>
      <c r="B13" s="10" t="n">
        <f aca="false">Assumptions!B19</f>
        <v>1000</v>
      </c>
      <c r="C13" s="10" t="n">
        <f aca="false">Assumptions!C19</f>
        <v>9000</v>
      </c>
      <c r="D13" s="10" t="n">
        <f aca="false">Assumptions!D19</f>
        <v>3000</v>
      </c>
      <c r="E13" s="10" t="n">
        <f aca="false">Assumptions!E19</f>
        <v>0</v>
      </c>
    </row>
    <row r="14" customFormat="false" ht="15" hidden="false" customHeight="true" outlineLevel="1" collapsed="false">
      <c r="A14" s="42" t="s">
        <v>357</v>
      </c>
      <c r="B14" s="109" t="n">
        <f aca="false">Assumptions!B21</f>
        <v>500</v>
      </c>
      <c r="C14" s="109" t="n">
        <f aca="false">Assumptions!C21</f>
        <v>24000</v>
      </c>
      <c r="D14" s="109" t="n">
        <f aca="false">Assumptions!D21</f>
        <v>66000</v>
      </c>
      <c r="E14" s="109" t="n">
        <f aca="false">Assumptions!E21</f>
        <v>156000</v>
      </c>
    </row>
    <row r="15" customFormat="false" ht="15" hidden="false" customHeight="true" outlineLevel="1" collapsed="false">
      <c r="A15" s="44" t="s">
        <v>358</v>
      </c>
      <c r="B15" s="10" t="n">
        <f aca="false">Assumptions!B23</f>
        <v>500</v>
      </c>
      <c r="C15" s="10" t="n">
        <f aca="false">Assumptions!C23</f>
        <v>36000</v>
      </c>
      <c r="D15" s="10" t="n">
        <f aca="false">Assumptions!D23</f>
        <v>108000</v>
      </c>
      <c r="E15" s="10" t="n">
        <f aca="false">Assumptions!E23</f>
        <v>264000</v>
      </c>
    </row>
    <row r="17" customFormat="false" ht="15" hidden="false" customHeight="true" outlineLevel="0" collapsed="false">
      <c r="A17" s="9" t="s">
        <v>330</v>
      </c>
      <c r="B17" s="10" t="n">
        <f aca="false">Assumptions!B25</f>
        <v>70640</v>
      </c>
      <c r="C17" s="10" t="n">
        <f aca="false">Assumptions!C25</f>
        <v>87000</v>
      </c>
      <c r="D17" s="10" t="n">
        <f aca="false">Assumptions!D25</f>
        <v>140000</v>
      </c>
      <c r="E17" s="10" t="n">
        <f aca="false">Assumptions!E25</f>
        <v>212000</v>
      </c>
    </row>
    <row r="18" customFormat="false" ht="15" hidden="false" customHeight="true" outlineLevel="1" collapsed="false">
      <c r="A18" s="42" t="s">
        <v>99</v>
      </c>
      <c r="B18" s="109" t="n">
        <f aca="false">Assumptions!B26</f>
        <v>0</v>
      </c>
      <c r="C18" s="109" t="n">
        <f aca="false">Assumptions!C26</f>
        <v>17000</v>
      </c>
      <c r="D18" s="109" t="n">
        <f aca="false">Assumptions!D26</f>
        <v>25000</v>
      </c>
      <c r="E18" s="109" t="n">
        <f aca="false">Assumptions!E26</f>
        <v>35000</v>
      </c>
    </row>
    <row r="19" customFormat="false" ht="15" hidden="false" customHeight="true" outlineLevel="1" collapsed="false">
      <c r="A19" s="44" t="s">
        <v>101</v>
      </c>
      <c r="B19" s="10" t="n">
        <f aca="false">Assumptions!B27</f>
        <v>0</v>
      </c>
      <c r="C19" s="10" t="n">
        <f aca="false">Assumptions!C27</f>
        <v>5000</v>
      </c>
      <c r="D19" s="10" t="n">
        <f aca="false">Assumptions!D27</f>
        <v>8000</v>
      </c>
      <c r="E19" s="10" t="n">
        <f aca="false">Assumptions!E27</f>
        <v>12000</v>
      </c>
    </row>
    <row r="20" customFormat="false" ht="15" hidden="false" customHeight="true" outlineLevel="1" collapsed="false">
      <c r="A20" s="42" t="s">
        <v>103</v>
      </c>
      <c r="B20" s="109" t="n">
        <f aca="false">Assumptions!B28</f>
        <v>0</v>
      </c>
      <c r="C20" s="109" t="n">
        <f aca="false">Assumptions!C28</f>
        <v>10000</v>
      </c>
      <c r="D20" s="109" t="n">
        <f aca="false">Assumptions!D28</f>
        <v>16000</v>
      </c>
      <c r="E20" s="109" t="n">
        <f aca="false">Assumptions!E28</f>
        <v>24000</v>
      </c>
    </row>
    <row r="21" customFormat="false" ht="15" hidden="false" customHeight="true" outlineLevel="1" collapsed="false">
      <c r="A21" s="44" t="s">
        <v>104</v>
      </c>
      <c r="B21" s="10" t="n">
        <f aca="false">Assumptions!B29</f>
        <v>0</v>
      </c>
      <c r="C21" s="10" t="n">
        <f aca="false">Assumptions!C29</f>
        <v>14000</v>
      </c>
      <c r="D21" s="10" t="n">
        <f aca="false">Assumptions!D29</f>
        <v>22000</v>
      </c>
      <c r="E21" s="10" t="n">
        <f aca="false">Assumptions!E29</f>
        <v>32000</v>
      </c>
    </row>
    <row r="22" customFormat="false" ht="15" hidden="false" customHeight="true" outlineLevel="1" collapsed="false">
      <c r="A22" s="42" t="s">
        <v>105</v>
      </c>
      <c r="B22" s="109" t="n">
        <f aca="false">Assumptions!B30</f>
        <v>0</v>
      </c>
      <c r="C22" s="109" t="n">
        <f aca="false">Assumptions!C30</f>
        <v>10000</v>
      </c>
      <c r="D22" s="109" t="n">
        <f aca="false">Assumptions!D30</f>
        <v>16000</v>
      </c>
      <c r="E22" s="109" t="n">
        <f aca="false">Assumptions!E30</f>
        <v>24000</v>
      </c>
    </row>
    <row r="23" customFormat="false" ht="15" hidden="false" customHeight="true" outlineLevel="1" collapsed="false">
      <c r="A23" s="44" t="s">
        <v>106</v>
      </c>
      <c r="B23" s="10" t="n">
        <f aca="false">Assumptions!B31</f>
        <v>0</v>
      </c>
      <c r="C23" s="10" t="n">
        <f aca="false">Assumptions!C31</f>
        <v>21000</v>
      </c>
      <c r="D23" s="10" t="n">
        <f aca="false">Assumptions!D31</f>
        <v>33000</v>
      </c>
      <c r="E23" s="10" t="n">
        <f aca="false">Assumptions!E31</f>
        <v>50000</v>
      </c>
    </row>
    <row r="24" customFormat="false" ht="15" hidden="false" customHeight="true" outlineLevel="1" collapsed="false">
      <c r="A24" s="42" t="s">
        <v>108</v>
      </c>
      <c r="B24" s="109" t="n">
        <f aca="false">Assumptions!B32</f>
        <v>0</v>
      </c>
      <c r="C24" s="109" t="n">
        <f aca="false">Assumptions!C32</f>
        <v>10000</v>
      </c>
      <c r="D24" s="109" t="n">
        <f aca="false">Assumptions!D32</f>
        <v>20000</v>
      </c>
      <c r="E24" s="109" t="n">
        <f aca="false">Assumptions!E32</f>
        <v>35000</v>
      </c>
    </row>
    <row r="26" customFormat="false" ht="15" hidden="false" customHeight="true" outlineLevel="0" collapsed="false">
      <c r="A26" s="7" t="s">
        <v>300</v>
      </c>
      <c r="B26" s="109" t="n">
        <f aca="false">Assumptions!B34</f>
        <v>18250</v>
      </c>
      <c r="C26" s="109" t="n">
        <f aca="false">Assumptions!C34</f>
        <v>50000</v>
      </c>
      <c r="D26" s="109" t="n">
        <f aca="false">Assumptions!D34</f>
        <v>255000</v>
      </c>
      <c r="E26" s="109" t="n">
        <f aca="false">Assumptions!E34</f>
        <v>635000</v>
      </c>
    </row>
    <row r="27" customFormat="false" ht="15" hidden="false" customHeight="true" outlineLevel="1" collapsed="false">
      <c r="A27" s="44" t="s">
        <v>112</v>
      </c>
      <c r="B27" s="10" t="n">
        <f aca="false">Assumptions!B35</f>
        <v>0</v>
      </c>
      <c r="C27" s="10" t="n">
        <f aca="false">Assumptions!C35</f>
        <v>30000</v>
      </c>
      <c r="D27" s="10" t="n">
        <f aca="false">Assumptions!D35</f>
        <v>100000</v>
      </c>
      <c r="E27" s="10" t="n">
        <f aca="false">Assumptions!E35</f>
        <v>200000</v>
      </c>
    </row>
    <row r="28" customFormat="false" ht="15" hidden="false" customHeight="true" outlineLevel="1" collapsed="false">
      <c r="A28" s="42" t="s">
        <v>114</v>
      </c>
      <c r="B28" s="109" t="n">
        <f aca="false">Assumptions!B36</f>
        <v>0</v>
      </c>
      <c r="C28" s="109" t="n">
        <f aca="false">Assumptions!C36</f>
        <v>10000</v>
      </c>
      <c r="D28" s="109" t="n">
        <f aca="false">Assumptions!D36</f>
        <v>30000</v>
      </c>
      <c r="E28" s="109" t="n">
        <f aca="false">Assumptions!E36</f>
        <v>60000</v>
      </c>
    </row>
    <row r="29" customFormat="false" ht="15" hidden="false" customHeight="true" outlineLevel="1" collapsed="false">
      <c r="A29" s="44" t="s">
        <v>116</v>
      </c>
      <c r="B29" s="10" t="n">
        <f aca="false">Assumptions!B37</f>
        <v>0</v>
      </c>
      <c r="C29" s="10" t="n">
        <f aca="false">Assumptions!C37</f>
        <v>10000</v>
      </c>
      <c r="D29" s="10" t="n">
        <f aca="false">Assumptions!D37</f>
        <v>50000</v>
      </c>
      <c r="E29" s="10" t="n">
        <f aca="false">Assumptions!E37</f>
        <v>150000</v>
      </c>
    </row>
    <row r="30" customFormat="false" ht="15" hidden="false" customHeight="true" outlineLevel="1" collapsed="false">
      <c r="A30" s="42" t="s">
        <v>118</v>
      </c>
      <c r="B30" s="109" t="n">
        <f aca="false">Assumptions!B38</f>
        <v>0</v>
      </c>
      <c r="C30" s="109" t="n">
        <f aca="false">Assumptions!C38</f>
        <v>0</v>
      </c>
      <c r="D30" s="109" t="n">
        <f aca="false">Assumptions!D38</f>
        <v>75000</v>
      </c>
      <c r="E30" s="109" t="n">
        <f aca="false">Assumptions!E38</f>
        <v>225000</v>
      </c>
    </row>
    <row r="32" customFormat="false" ht="15" hidden="false" customHeight="true" outlineLevel="0" collapsed="false">
      <c r="A32" s="7" t="s">
        <v>302</v>
      </c>
      <c r="B32" s="109" t="n">
        <f aca="false">Assumptions!B40</f>
        <v>37156</v>
      </c>
      <c r="C32" s="109" t="n">
        <f aca="false">Assumptions!C40</f>
        <v>40000</v>
      </c>
      <c r="D32" s="109" t="n">
        <f aca="false">Assumptions!D40</f>
        <v>20000</v>
      </c>
      <c r="E32" s="109" t="n">
        <f aca="false">Assumptions!E40</f>
        <v>0</v>
      </c>
    </row>
    <row r="33" customFormat="false" ht="15" hidden="false" customHeight="true" outlineLevel="0" collapsed="false">
      <c r="A33" s="9" t="s">
        <v>124</v>
      </c>
      <c r="B33" s="10" t="n">
        <f aca="false">Assumptions!B41</f>
        <v>48405</v>
      </c>
      <c r="C33" s="10" t="n">
        <f aca="false">Assumptions!C41</f>
        <v>0</v>
      </c>
      <c r="D33" s="10" t="n">
        <f aca="false">Assumptions!D41</f>
        <v>0</v>
      </c>
      <c r="E33" s="10" t="n">
        <f aca="false">Assumptions!E41</f>
        <v>0</v>
      </c>
    </row>
    <row r="34" customFormat="false" ht="15" hidden="false" customHeight="true" outlineLevel="0" collapsed="false">
      <c r="A34" s="11" t="s">
        <v>6</v>
      </c>
      <c r="B34" s="48" t="n">
        <f aca="false">B6+B12+B17+B26+B32+B33</f>
        <v>194681</v>
      </c>
      <c r="C34" s="48" t="n">
        <f aca="false">C6+C12+C17+C26+C32+C33</f>
        <v>315346</v>
      </c>
      <c r="D34" s="48" t="n">
        <f aca="false">D6+D12+D17+D26+D32+D33</f>
        <v>797530</v>
      </c>
      <c r="E34" s="48" t="n">
        <f aca="false">E6+E12+E17+E26+E32+E33</f>
        <v>1769500</v>
      </c>
    </row>
    <row r="35" customFormat="false" ht="15" hidden="false" customHeight="true" outlineLevel="0" collapsed="false">
      <c r="A35" s="9" t="s">
        <v>306</v>
      </c>
      <c r="B35" s="10" t="n">
        <f aca="false">-ABS(B34*Assumptions!B44)</f>
        <v>-18105.333</v>
      </c>
      <c r="C35" s="10" t="n">
        <f aca="false">-ABS(C34*Assumptions!C44)</f>
        <v>-31534.6</v>
      </c>
      <c r="D35" s="10" t="n">
        <f aca="false">-ABS(D34*Assumptions!D44)</f>
        <v>-79753</v>
      </c>
      <c r="E35" s="10" t="n">
        <f aca="false">-ABS(E34*Assumptions!E44)</f>
        <v>-159255</v>
      </c>
    </row>
    <row r="36" customFormat="false" ht="15" hidden="false" customHeight="true" outlineLevel="0" collapsed="false">
      <c r="A36" s="11" t="s">
        <v>8</v>
      </c>
      <c r="B36" s="48" t="n">
        <f aca="false">B34+B35</f>
        <v>176575.667</v>
      </c>
      <c r="C36" s="48" t="n">
        <f aca="false">C34+C35</f>
        <v>283811.4</v>
      </c>
      <c r="D36" s="48" t="n">
        <f aca="false">D34+D35</f>
        <v>717777</v>
      </c>
      <c r="E36" s="48" t="n">
        <f aca="false">E34+E35</f>
        <v>1610245</v>
      </c>
    </row>
    <row r="37" customFormat="false" ht="15" hidden="false" customHeight="true" outlineLevel="0" collapsed="false">
      <c r="A37" s="9" t="s">
        <v>9</v>
      </c>
      <c r="B37" s="94" t="n">
        <f aca="false">IF(B34&gt;0,B36/B34,0)</f>
        <v>0.907</v>
      </c>
      <c r="C37" s="94" t="n">
        <f aca="false">IF(C34&gt;0,C36/C34,0)</f>
        <v>0.9</v>
      </c>
      <c r="D37" s="94" t="n">
        <f aca="false">IF(D34&gt;0,D36/D34,0)</f>
        <v>0.9</v>
      </c>
      <c r="E37" s="94" t="n">
        <f aca="false">IF(E34&gt;0,E36/E34,0)</f>
        <v>0.91</v>
      </c>
    </row>
    <row r="38" customFormat="false" ht="15" hidden="false" customHeight="true" outlineLevel="0" collapsed="false">
      <c r="A38" s="7" t="s">
        <v>359</v>
      </c>
      <c r="B38" s="109" t="n">
        <f aca="false">-ABS(Assumptions!B68)</f>
        <v>-96000</v>
      </c>
      <c r="C38" s="109" t="n">
        <f aca="false">-ABS(Assumptions!C68)</f>
        <v>-498000</v>
      </c>
      <c r="D38" s="109" t="n">
        <f aca="false">-ABS(Assumptions!D68)</f>
        <v>-778000</v>
      </c>
      <c r="E38" s="109" t="n">
        <f aca="false">-ABS(Assumptions!E68)</f>
        <v>-1020000</v>
      </c>
    </row>
    <row r="39" customFormat="false" ht="15" hidden="false" customHeight="true" outlineLevel="0" collapsed="false">
      <c r="A39" s="5" t="s">
        <v>10</v>
      </c>
      <c r="B39" s="41" t="n">
        <f aca="false">B36+B38</f>
        <v>80575.667</v>
      </c>
      <c r="C39" s="41" t="n">
        <f aca="false">C36+C38</f>
        <v>-214188.6</v>
      </c>
      <c r="D39" s="41" t="n">
        <f aca="false">D36+D38</f>
        <v>-60223</v>
      </c>
      <c r="E39" s="41" t="n">
        <f aca="false">E36+E38</f>
        <v>590245</v>
      </c>
    </row>
    <row r="40" customFormat="false" ht="15" hidden="false" customHeight="true" outlineLevel="0" collapsed="false">
      <c r="A40" s="7" t="s">
        <v>11</v>
      </c>
      <c r="B40" s="93" t="n">
        <f aca="false">IF(B34&gt;0,B39/B34,0)</f>
        <v>0.413885623147611</v>
      </c>
      <c r="C40" s="93" t="n">
        <f aca="false">IF(C34&gt;0,C39/C34,0)</f>
        <v>-0.679217748124283</v>
      </c>
      <c r="D40" s="93" t="n">
        <f aca="false">IF(D34&gt;0,D39/D34,0)</f>
        <v>-0.0755118929695435</v>
      </c>
      <c r="E40" s="93" t="n">
        <f aca="false">IF(E34&gt;0,E39/E34,0)</f>
        <v>0.333565979090138</v>
      </c>
    </row>
    <row r="41" customFormat="false" ht="15" hidden="false" customHeight="true" outlineLevel="0" collapsed="false">
      <c r="A41" s="17" t="s">
        <v>360</v>
      </c>
      <c r="B41" s="18"/>
      <c r="C41" s="18"/>
      <c r="D41" s="18"/>
      <c r="E41" s="18"/>
    </row>
    <row r="42" customFormat="false" ht="15" hidden="false" customHeight="true" outlineLevel="0" collapsed="false">
      <c r="A42" s="7" t="s">
        <v>361</v>
      </c>
      <c r="B42" s="109" t="n">
        <v>0</v>
      </c>
      <c r="C42" s="109" t="n">
        <f aca="false">-IF('Valuation &amp; Exit'!B47&gt;0,MIN('Valuation &amp; Exit'!C45,'Valuation &amp; Exit'!B47),0)</f>
        <v>-15767.3</v>
      </c>
      <c r="D42" s="109" t="n">
        <f aca="false">-IF('Valuation &amp; Exit'!C47&gt;0,MIN('Valuation &amp; Exit'!D45,'Valuation &amp; Exit'!C47),0)</f>
        <v>-39876.5</v>
      </c>
      <c r="E42" s="109" t="n">
        <f aca="false">-IF('Valuation &amp; Exit'!D47&gt;0,MIN('Valuation &amp; Exit'!E45,'Valuation &amp; Exit'!D47),0)</f>
        <v>-88475</v>
      </c>
      <c r="F42" s="1" t="s">
        <v>362</v>
      </c>
    </row>
    <row r="43" customFormat="false" ht="15" hidden="false" customHeight="true" outlineLevel="0" collapsed="false">
      <c r="A43" s="9" t="s">
        <v>363</v>
      </c>
      <c r="B43" s="10" t="n">
        <v>0</v>
      </c>
      <c r="C43" s="10" t="n">
        <f aca="false">-ABS('Valuation &amp; Exit'!B54)</f>
        <v>-23739.640043119</v>
      </c>
      <c r="D43" s="10" t="n">
        <f aca="false">-ABS('Valuation &amp; Exit'!B54)</f>
        <v>-23739.640043119</v>
      </c>
      <c r="E43" s="10" t="n">
        <f aca="false">-ABS('Valuation &amp; Exit'!B54)</f>
        <v>-23739.640043119</v>
      </c>
      <c r="F43" s="1" t="s">
        <v>364</v>
      </c>
    </row>
    <row r="44" customFormat="false" ht="15" hidden="false" customHeight="true" outlineLevel="0" collapsed="false">
      <c r="A44" s="11" t="s">
        <v>365</v>
      </c>
      <c r="B44" s="48" t="n">
        <f aca="false">B42+B43</f>
        <v>0</v>
      </c>
      <c r="C44" s="48" t="n">
        <f aca="false">C42+C43</f>
        <v>-39506.940043119</v>
      </c>
      <c r="D44" s="48" t="n">
        <f aca="false">D42+D43</f>
        <v>-63616.140043119</v>
      </c>
      <c r="E44" s="48" t="n">
        <f aca="false">E42+E43</f>
        <v>-112214.640043119</v>
      </c>
    </row>
    <row r="45" customFormat="false" ht="15" hidden="false" customHeight="true" outlineLevel="0" collapsed="false">
      <c r="A45" s="5" t="s">
        <v>13</v>
      </c>
      <c r="B45" s="41" t="n">
        <f aca="false">B39+B44</f>
        <v>80575.667</v>
      </c>
      <c r="C45" s="41" t="n">
        <f aca="false">C39+C44</f>
        <v>-253695.540043119</v>
      </c>
      <c r="D45" s="41" t="n">
        <f aca="false">D39+D44</f>
        <v>-123839.140043119</v>
      </c>
      <c r="E45" s="41" t="n">
        <f aca="false">E39+E44</f>
        <v>478030.359956881</v>
      </c>
    </row>
    <row r="46" customFormat="false" ht="15" hidden="false" customHeight="true" outlineLevel="0" collapsed="false">
      <c r="A46" s="7" t="s">
        <v>312</v>
      </c>
      <c r="B46" s="93" t="n">
        <f aca="false">IF(B34&gt;0,B45/B34,0)</f>
        <v>0.413885623147611</v>
      </c>
      <c r="C46" s="93" t="n">
        <f aca="false">IF(C34&gt;0,C45/C34,0)</f>
        <v>-0.804498994891703</v>
      </c>
      <c r="D46" s="93" t="n">
        <f aca="false">IF(D34&gt;0,D45/D34,0)</f>
        <v>-0.155278346950107</v>
      </c>
      <c r="E46" s="93" t="n">
        <f aca="false">IF(E34&gt;0,E45/E34,0)</f>
        <v>0.270149963242092</v>
      </c>
    </row>
    <row r="47" customFormat="false" ht="15" hidden="false" customHeight="true" outlineLevel="0" collapsed="false">
      <c r="A47" s="9" t="s">
        <v>174</v>
      </c>
      <c r="B47" s="10" t="n">
        <f aca="false">Assumptions!B71</f>
        <v>0</v>
      </c>
      <c r="C47" s="10" t="n">
        <f aca="false">Assumptions!C71</f>
        <v>500000</v>
      </c>
      <c r="D47" s="10" t="n">
        <f aca="false">Assumptions!D71</f>
        <v>0</v>
      </c>
      <c r="E47" s="10" t="n">
        <f aca="false">Assumptions!E71</f>
        <v>0</v>
      </c>
    </row>
    <row r="48" customFormat="false" ht="15" hidden="false" customHeight="true" outlineLevel="0" collapsed="false">
      <c r="A48" s="11" t="s">
        <v>366</v>
      </c>
      <c r="B48" s="48" t="n">
        <f aca="false">Assumptions!B72+B45+B47</f>
        <v>85575.667</v>
      </c>
      <c r="C48" s="48" t="n">
        <f aca="false">B48+C45+C47</f>
        <v>331880.126956881</v>
      </c>
      <c r="D48" s="48" t="n">
        <f aca="false">C48+D45+D47</f>
        <v>208040.986913762</v>
      </c>
      <c r="E48" s="48" t="n">
        <f aca="false">D48+E45+E47</f>
        <v>686071.346870643</v>
      </c>
    </row>
    <row r="50" customFormat="false" ht="15" hidden="false" customHeight="true" outlineLevel="0" collapsed="false">
      <c r="A50" s="17" t="s">
        <v>367</v>
      </c>
      <c r="B50" s="18"/>
      <c r="C50" s="18"/>
      <c r="D50" s="18"/>
      <c r="E50" s="18"/>
    </row>
    <row r="51" customFormat="false" ht="15" hidden="false" customHeight="true" outlineLevel="0" collapsed="false">
      <c r="A51" s="9" t="s">
        <v>368</v>
      </c>
      <c r="B51" s="13" t="n">
        <f aca="false">Assumptions!B75</f>
        <v>132</v>
      </c>
      <c r="C51" s="13" t="n">
        <f aca="false">Assumptions!C75</f>
        <v>515</v>
      </c>
      <c r="D51" s="13" t="n">
        <f aca="false">Assumptions!D75</f>
        <v>1650</v>
      </c>
      <c r="E51" s="13" t="n">
        <f aca="false">Assumptions!E75</f>
        <v>3600</v>
      </c>
    </row>
    <row r="52" customFormat="false" ht="15" hidden="false" customHeight="true" outlineLevel="0" collapsed="false">
      <c r="A52" s="7" t="s">
        <v>369</v>
      </c>
      <c r="B52" s="14" t="n">
        <f aca="false">Assumptions!B76</f>
        <v>4</v>
      </c>
      <c r="C52" s="14" t="n">
        <f aca="false">Assumptions!C76</f>
        <v>6</v>
      </c>
      <c r="D52" s="14" t="n">
        <f aca="false">Assumptions!D76</f>
        <v>15</v>
      </c>
      <c r="E52" s="14" t="n">
        <f aca="false">Assumptions!E76</f>
        <v>33</v>
      </c>
    </row>
    <row r="53" customFormat="false" ht="15" hidden="false" customHeight="true" outlineLevel="0" collapsed="false">
      <c r="A53" s="9" t="s">
        <v>17</v>
      </c>
      <c r="B53" s="13" t="n">
        <f aca="false">Assumptions!B77</f>
        <v>10000</v>
      </c>
      <c r="C53" s="13" t="n">
        <f aca="false">Assumptions!C77</f>
        <v>25000</v>
      </c>
      <c r="D53" s="13" t="n">
        <f aca="false">Assumptions!D77</f>
        <v>60000</v>
      </c>
      <c r="E53" s="13" t="n">
        <f aca="false">Assumptions!E77</f>
        <v>120000</v>
      </c>
    </row>
    <row r="55" customFormat="false" ht="15" hidden="false" customHeight="true" outlineLevel="0" collapsed="false">
      <c r="A55" s="9" t="s">
        <v>370</v>
      </c>
      <c r="B55" s="110" t="n">
        <f aca="false">B34/1</f>
        <v>194681</v>
      </c>
      <c r="C55" s="110" t="n">
        <f aca="false">C34/4</f>
        <v>78836.5</v>
      </c>
      <c r="D55" s="110" t="n">
        <f aca="false">D34/6</f>
        <v>132921.666666667</v>
      </c>
      <c r="E55" s="110" t="n">
        <f aca="false">E34/10</f>
        <v>176950</v>
      </c>
    </row>
    <row r="56" customFormat="false" ht="15" hidden="false" customHeight="true" outlineLevel="0" collapsed="false">
      <c r="A56" s="7" t="s">
        <v>189</v>
      </c>
      <c r="B56" s="15" t="n">
        <f aca="false">Assumptions!B82</f>
        <v>7.02430555555556</v>
      </c>
      <c r="C56" s="15" t="n">
        <f aca="false">Assumptions!C82</f>
        <v>3.09795905310301</v>
      </c>
      <c r="D56" s="15" t="n">
        <f aca="false">Assumptions!D82</f>
        <v>6.84456831831832</v>
      </c>
      <c r="E56" s="15" t="n">
        <f aca="false">Assumptions!E82</f>
        <v>11.5675750068814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5" min="2" style="1" width="18"/>
    <col collapsed="false" customWidth="true" hidden="false" outlineLevel="0" max="6" min="6" style="1" width="30"/>
  </cols>
  <sheetData>
    <row r="1" customFormat="false" ht="19.5" hidden="false" customHeight="true" outlineLevel="0" collapsed="false">
      <c r="A1" s="2" t="s">
        <v>371</v>
      </c>
    </row>
    <row r="2" customFormat="false" ht="15" hidden="false" customHeight="true" outlineLevel="0" collapsed="false">
      <c r="A2" s="3" t="s">
        <v>372</v>
      </c>
    </row>
    <row r="3" customFormat="false" ht="15" hidden="false" customHeight="true" outlineLevel="0" collapsed="false">
      <c r="A3" s="40" t="s">
        <v>373</v>
      </c>
    </row>
    <row r="5" customFormat="false" ht="15" hidden="false" customHeight="true" outlineLevel="0" collapsed="false">
      <c r="A5" s="111"/>
      <c r="B5" s="111" t="s">
        <v>65</v>
      </c>
      <c r="C5" s="111" t="s">
        <v>3</v>
      </c>
      <c r="D5" s="111" t="s">
        <v>4</v>
      </c>
      <c r="E5" s="111" t="s">
        <v>5</v>
      </c>
      <c r="F5" s="111" t="s">
        <v>374</v>
      </c>
    </row>
    <row r="6" customFormat="false" ht="15" hidden="false" customHeight="true" outlineLevel="0" collapsed="false">
      <c r="A6" s="17" t="s">
        <v>375</v>
      </c>
      <c r="B6" s="18"/>
      <c r="C6" s="18"/>
      <c r="D6" s="18"/>
      <c r="E6" s="18"/>
      <c r="F6" s="18"/>
    </row>
    <row r="7" customFormat="false" ht="15" hidden="false" customHeight="true" outlineLevel="0" collapsed="false">
      <c r="A7" s="9" t="s">
        <v>298</v>
      </c>
      <c r="B7" s="50" t="n">
        <v>18230</v>
      </c>
      <c r="C7" s="50" t="n">
        <v>28000</v>
      </c>
      <c r="D7" s="50" t="n">
        <v>58000</v>
      </c>
      <c r="E7" s="50" t="n">
        <v>115000</v>
      </c>
      <c r="F7" s="50" t="s">
        <v>376</v>
      </c>
    </row>
    <row r="8" customFormat="false" ht="15" hidden="false" customHeight="true" outlineLevel="0" collapsed="false">
      <c r="A8" s="7" t="s">
        <v>329</v>
      </c>
      <c r="B8" s="49" t="n">
        <v>2000</v>
      </c>
      <c r="C8" s="49" t="n">
        <v>25000</v>
      </c>
      <c r="D8" s="49" t="n">
        <v>60000</v>
      </c>
      <c r="E8" s="49" t="n">
        <v>144000</v>
      </c>
      <c r="F8" s="49" t="s">
        <v>377</v>
      </c>
    </row>
    <row r="9" customFormat="false" ht="15" hidden="false" customHeight="true" outlineLevel="0" collapsed="false">
      <c r="A9" s="9" t="s">
        <v>330</v>
      </c>
      <c r="B9" s="50" t="n">
        <v>73890</v>
      </c>
      <c r="C9" s="50" t="n">
        <v>75000</v>
      </c>
      <c r="D9" s="50" t="n">
        <v>100000</v>
      </c>
      <c r="E9" s="50" t="n">
        <v>140000</v>
      </c>
      <c r="F9" s="50" t="s">
        <v>378</v>
      </c>
    </row>
    <row r="10" customFormat="false" ht="15" hidden="false" customHeight="true" outlineLevel="0" collapsed="false">
      <c r="A10" s="7" t="s">
        <v>300</v>
      </c>
      <c r="B10" s="49" t="n">
        <v>0</v>
      </c>
      <c r="C10" s="49" t="n">
        <v>15000</v>
      </c>
      <c r="D10" s="49" t="n">
        <v>45000</v>
      </c>
      <c r="E10" s="49" t="n">
        <v>100000</v>
      </c>
      <c r="F10" s="49" t="s">
        <v>379</v>
      </c>
    </row>
    <row r="11" customFormat="false" ht="15" hidden="false" customHeight="true" outlineLevel="0" collapsed="false">
      <c r="A11" s="9" t="s">
        <v>302</v>
      </c>
      <c r="B11" s="50" t="n">
        <v>69656</v>
      </c>
      <c r="C11" s="50" t="n">
        <v>40000</v>
      </c>
      <c r="D11" s="50" t="n">
        <v>25000</v>
      </c>
      <c r="E11" s="50" t="n">
        <v>10000</v>
      </c>
      <c r="F11" s="50" t="s">
        <v>380</v>
      </c>
    </row>
    <row r="12" customFormat="false" ht="15" hidden="false" customHeight="true" outlineLevel="0" collapsed="false">
      <c r="A12" s="7" t="s">
        <v>124</v>
      </c>
      <c r="B12" s="49" t="n">
        <v>48405</v>
      </c>
      <c r="C12" s="49" t="n">
        <v>20000</v>
      </c>
      <c r="D12" s="49" t="n">
        <v>0</v>
      </c>
      <c r="E12" s="49" t="n">
        <v>0</v>
      </c>
      <c r="F12" s="49" t="s">
        <v>381</v>
      </c>
    </row>
    <row r="13" customFormat="false" ht="15" hidden="false" customHeight="true" outlineLevel="0" collapsed="false">
      <c r="A13" s="5" t="s">
        <v>6</v>
      </c>
      <c r="B13" s="41" t="n">
        <f aca="false">SUM(B7:B12)</f>
        <v>212181</v>
      </c>
      <c r="C13" s="41" t="n">
        <f aca="false">SUM(C7:C12)</f>
        <v>203000</v>
      </c>
      <c r="D13" s="41" t="n">
        <f aca="false">SUM(D7:D12)</f>
        <v>288000</v>
      </c>
      <c r="E13" s="41" t="n">
        <f aca="false">SUM(E7:E12)</f>
        <v>509000</v>
      </c>
      <c r="F13" s="41"/>
    </row>
    <row r="15" customFormat="false" ht="15" hidden="false" customHeight="true" outlineLevel="0" collapsed="false">
      <c r="A15" s="17" t="s">
        <v>382</v>
      </c>
      <c r="B15" s="18"/>
      <c r="C15" s="18"/>
      <c r="D15" s="18"/>
      <c r="E15" s="18"/>
      <c r="F15" s="18"/>
    </row>
    <row r="16" customFormat="false" ht="15" hidden="false" customHeight="true" outlineLevel="0" collapsed="false">
      <c r="A16" s="7" t="s">
        <v>383</v>
      </c>
      <c r="B16" s="52" t="n">
        <f aca="false">-ABS(B13*0.093)</f>
        <v>-19732.833</v>
      </c>
      <c r="C16" s="52" t="n">
        <f aca="false">-ABS(C13*0.1)</f>
        <v>-20300</v>
      </c>
      <c r="D16" s="52" t="n">
        <f aca="false">-ABS(D13*0.1)</f>
        <v>-28800</v>
      </c>
      <c r="E16" s="52" t="n">
        <f aca="false">-ABS(E13*0.09)</f>
        <v>-45810</v>
      </c>
      <c r="F16" s="52"/>
    </row>
    <row r="17" customFormat="false" ht="15" hidden="false" customHeight="true" outlineLevel="0" collapsed="false">
      <c r="A17" s="5" t="s">
        <v>8</v>
      </c>
      <c r="B17" s="41" t="n">
        <f aca="false">B13+B16</f>
        <v>192448.167</v>
      </c>
      <c r="C17" s="41" t="n">
        <f aca="false">C13+C16</f>
        <v>182700</v>
      </c>
      <c r="D17" s="41" t="n">
        <f aca="false">D13+D16</f>
        <v>259200</v>
      </c>
      <c r="E17" s="41" t="n">
        <f aca="false">E13+E16</f>
        <v>463190</v>
      </c>
      <c r="F17" s="41"/>
    </row>
    <row r="19" customFormat="false" ht="15" hidden="false" customHeight="true" outlineLevel="0" collapsed="false">
      <c r="A19" s="9" t="s">
        <v>384</v>
      </c>
      <c r="B19" s="50" t="n">
        <v>7911</v>
      </c>
      <c r="C19" s="50" t="n">
        <v>48000</v>
      </c>
      <c r="D19" s="50" t="n">
        <v>60000</v>
      </c>
      <c r="E19" s="50" t="n">
        <v>72000</v>
      </c>
      <c r="F19" s="50" t="s">
        <v>385</v>
      </c>
    </row>
    <row r="20" customFormat="false" ht="15" hidden="false" customHeight="true" outlineLevel="0" collapsed="false">
      <c r="A20" s="7" t="s">
        <v>386</v>
      </c>
      <c r="B20" s="49" t="n">
        <v>2469</v>
      </c>
      <c r="C20" s="49" t="n">
        <v>15000</v>
      </c>
      <c r="D20" s="49" t="n">
        <v>24000</v>
      </c>
      <c r="E20" s="49" t="n">
        <v>36000</v>
      </c>
      <c r="F20" s="49" t="s">
        <v>387</v>
      </c>
    </row>
    <row r="21" customFormat="false" ht="15" hidden="false" customHeight="true" outlineLevel="0" collapsed="false">
      <c r="A21" s="9" t="s">
        <v>388</v>
      </c>
      <c r="B21" s="50" t="n">
        <v>25000</v>
      </c>
      <c r="C21" s="50" t="n">
        <v>50000</v>
      </c>
      <c r="D21" s="50" t="n">
        <v>65000</v>
      </c>
      <c r="E21" s="50" t="n">
        <v>80000</v>
      </c>
      <c r="F21" s="50" t="s">
        <v>389</v>
      </c>
    </row>
    <row r="22" customFormat="false" ht="15" hidden="false" customHeight="true" outlineLevel="0" collapsed="false">
      <c r="A22" s="7" t="s">
        <v>390</v>
      </c>
      <c r="B22" s="49" t="n">
        <v>15994</v>
      </c>
      <c r="C22" s="49" t="n">
        <v>18000</v>
      </c>
      <c r="D22" s="49" t="n">
        <v>20000</v>
      </c>
      <c r="E22" s="49" t="n">
        <v>25000</v>
      </c>
      <c r="F22" s="49" t="s">
        <v>391</v>
      </c>
    </row>
    <row r="23" customFormat="false" ht="15" hidden="false" customHeight="true" outlineLevel="0" collapsed="false">
      <c r="A23" s="9" t="s">
        <v>392</v>
      </c>
      <c r="B23" s="50" t="n">
        <v>8197</v>
      </c>
      <c r="C23" s="50" t="n">
        <v>12000</v>
      </c>
      <c r="D23" s="50" t="n">
        <v>15000</v>
      </c>
      <c r="E23" s="50" t="n">
        <v>20000</v>
      </c>
      <c r="F23" s="50" t="s">
        <v>393</v>
      </c>
    </row>
    <row r="24" customFormat="false" ht="15" hidden="false" customHeight="true" outlineLevel="0" collapsed="false">
      <c r="A24" s="7" t="s">
        <v>394</v>
      </c>
      <c r="B24" s="49" t="n">
        <v>5087</v>
      </c>
      <c r="C24" s="49" t="n">
        <v>10000</v>
      </c>
      <c r="D24" s="49" t="n">
        <v>15000</v>
      </c>
      <c r="E24" s="49" t="n">
        <v>25000</v>
      </c>
      <c r="F24" s="49" t="s">
        <v>395</v>
      </c>
    </row>
    <row r="25" customFormat="false" ht="15" hidden="false" customHeight="true" outlineLevel="0" collapsed="false">
      <c r="A25" s="9" t="s">
        <v>396</v>
      </c>
      <c r="B25" s="50" t="n">
        <v>3825</v>
      </c>
      <c r="C25" s="50" t="n">
        <v>6000</v>
      </c>
      <c r="D25" s="50" t="n">
        <v>8000</v>
      </c>
      <c r="E25" s="50" t="n">
        <v>12000</v>
      </c>
      <c r="F25" s="50" t="s">
        <v>397</v>
      </c>
    </row>
    <row r="26" customFormat="false" ht="15" hidden="false" customHeight="true" outlineLevel="0" collapsed="false">
      <c r="A26" s="7" t="s">
        <v>398</v>
      </c>
      <c r="B26" s="49" t="n">
        <v>12116</v>
      </c>
      <c r="C26" s="49" t="n">
        <v>12000</v>
      </c>
      <c r="D26" s="49" t="n">
        <v>15000</v>
      </c>
      <c r="E26" s="49" t="n">
        <v>18000</v>
      </c>
      <c r="F26" s="49" t="s">
        <v>399</v>
      </c>
    </row>
    <row r="27" customFormat="false" ht="15" hidden="false" customHeight="true" outlineLevel="0" collapsed="false">
      <c r="A27" s="9" t="s">
        <v>400</v>
      </c>
      <c r="B27" s="50" t="n">
        <v>5341</v>
      </c>
      <c r="C27" s="50" t="n">
        <v>5000</v>
      </c>
      <c r="D27" s="50" t="n">
        <v>8000</v>
      </c>
      <c r="E27" s="50" t="n">
        <v>12000</v>
      </c>
      <c r="F27" s="50" t="s">
        <v>401</v>
      </c>
    </row>
    <row r="28" customFormat="false" ht="15" hidden="false" customHeight="true" outlineLevel="0" collapsed="false">
      <c r="A28" s="7" t="s">
        <v>402</v>
      </c>
      <c r="B28" s="49" t="n">
        <v>5244</v>
      </c>
      <c r="C28" s="49" t="n">
        <v>5000</v>
      </c>
      <c r="D28" s="49" t="n">
        <v>8000</v>
      </c>
      <c r="E28" s="49" t="n">
        <v>10000</v>
      </c>
      <c r="F28" s="49" t="s">
        <v>403</v>
      </c>
    </row>
    <row r="29" customFormat="false" ht="15" hidden="false" customHeight="true" outlineLevel="0" collapsed="false">
      <c r="A29" s="9" t="s">
        <v>404</v>
      </c>
      <c r="B29" s="50" t="n">
        <v>9116</v>
      </c>
      <c r="C29" s="50" t="n">
        <v>10000</v>
      </c>
      <c r="D29" s="50" t="n">
        <v>12000</v>
      </c>
      <c r="E29" s="50" t="n">
        <v>15000</v>
      </c>
      <c r="F29" s="50" t="s">
        <v>405</v>
      </c>
    </row>
    <row r="30" customFormat="false" ht="15" hidden="false" customHeight="true" outlineLevel="0" collapsed="false">
      <c r="A30" s="11" t="s">
        <v>172</v>
      </c>
      <c r="B30" s="48" t="n">
        <f aca="false">SUM(B19:B29)</f>
        <v>100300</v>
      </c>
      <c r="C30" s="48" t="n">
        <f aca="false">SUM(C19:C29)</f>
        <v>191000</v>
      </c>
      <c r="D30" s="48" t="n">
        <f aca="false">SUM(D19:D29)</f>
        <v>250000</v>
      </c>
      <c r="E30" s="48" t="n">
        <f aca="false">SUM(E19:E29)</f>
        <v>325000</v>
      </c>
      <c r="F30" s="48"/>
    </row>
    <row r="32" customFormat="false" ht="15" hidden="false" customHeight="true" outlineLevel="0" collapsed="false">
      <c r="A32" s="17" t="s">
        <v>307</v>
      </c>
      <c r="B32" s="18"/>
      <c r="C32" s="18"/>
      <c r="D32" s="18"/>
      <c r="E32" s="18"/>
      <c r="F32" s="18"/>
    </row>
    <row r="33" customFormat="false" ht="15" hidden="false" customHeight="true" outlineLevel="0" collapsed="false">
      <c r="A33" s="5" t="s">
        <v>10</v>
      </c>
      <c r="B33" s="41" t="n">
        <f aca="false">B17-B30</f>
        <v>92148.167</v>
      </c>
      <c r="C33" s="41" t="n">
        <f aca="false">C17-C30</f>
        <v>-8300</v>
      </c>
      <c r="D33" s="41" t="n">
        <f aca="false">D17-D30</f>
        <v>9200</v>
      </c>
      <c r="E33" s="41" t="n">
        <f aca="false">E17-E30</f>
        <v>138190</v>
      </c>
      <c r="F33" s="41"/>
    </row>
    <row r="34" customFormat="false" ht="15" hidden="false" customHeight="true" outlineLevel="0" collapsed="false">
      <c r="A34" s="7" t="s">
        <v>11</v>
      </c>
      <c r="B34" s="93" t="n">
        <f aca="false">IF(B13&gt;0,B33/B13,0)</f>
        <v>0.434290379440195</v>
      </c>
      <c r="C34" s="93" t="n">
        <f aca="false">IF(C13&gt;0,C33/C13,0)</f>
        <v>-0.0408866995073892</v>
      </c>
      <c r="D34" s="93" t="n">
        <f aca="false">IF(D13&gt;0,D33/D13,0)</f>
        <v>0.0319444444444444</v>
      </c>
      <c r="E34" s="93" t="n">
        <f aca="false">IF(E13&gt;0,E33/E13,0)</f>
        <v>0.271493123772102</v>
      </c>
      <c r="F34" s="93"/>
    </row>
    <row r="36" customFormat="false" ht="15" hidden="false" customHeight="true" outlineLevel="0" collapsed="false">
      <c r="A36" s="11" t="s">
        <v>366</v>
      </c>
      <c r="B36" s="48" t="n">
        <f aca="false">5000+B33</f>
        <v>97148.167</v>
      </c>
      <c r="C36" s="48" t="n">
        <f aca="false">B36+C33</f>
        <v>88848.167</v>
      </c>
      <c r="D36" s="48" t="n">
        <f aca="false">C36+D33</f>
        <v>98048.167</v>
      </c>
      <c r="E36" s="48" t="n">
        <f aca="false">D36+E33</f>
        <v>236238.167</v>
      </c>
      <c r="F36" s="48"/>
    </row>
    <row r="38" customFormat="false" ht="15" hidden="false" customHeight="true" outlineLevel="0" collapsed="false">
      <c r="A38" s="17" t="s">
        <v>406</v>
      </c>
      <c r="B38" s="18"/>
      <c r="C38" s="18"/>
      <c r="D38" s="18"/>
      <c r="E38" s="18"/>
      <c r="F38" s="18"/>
    </row>
    <row r="39" customFormat="false" ht="15" hidden="false" customHeight="true" outlineLevel="0" collapsed="false">
      <c r="A39" s="9" t="s">
        <v>407</v>
      </c>
      <c r="B39" s="10" t="n">
        <f aca="false">Projections!B34</f>
        <v>194681</v>
      </c>
      <c r="C39" s="10" t="n">
        <f aca="false">Projections!C34</f>
        <v>315346</v>
      </c>
      <c r="D39" s="10" t="n">
        <f aca="false">Projections!D34</f>
        <v>797530</v>
      </c>
      <c r="E39" s="10" t="n">
        <f aca="false">Projections!E34</f>
        <v>1769500</v>
      </c>
      <c r="F39" s="10"/>
    </row>
    <row r="40" customFormat="false" ht="15" hidden="false" customHeight="true" outlineLevel="0" collapsed="false">
      <c r="A40" s="7" t="s">
        <v>408</v>
      </c>
      <c r="B40" s="52" t="n">
        <f aca="false">B13</f>
        <v>212181</v>
      </c>
      <c r="C40" s="52" t="n">
        <f aca="false">C13</f>
        <v>203000</v>
      </c>
      <c r="D40" s="52" t="n">
        <f aca="false">D13</f>
        <v>288000</v>
      </c>
      <c r="E40" s="52" t="n">
        <f aca="false">E13</f>
        <v>509000</v>
      </c>
      <c r="F40" s="52"/>
    </row>
    <row r="41" customFormat="false" ht="15" hidden="false" customHeight="true" outlineLevel="0" collapsed="false">
      <c r="A41" s="9" t="s">
        <v>409</v>
      </c>
      <c r="B41" s="110" t="n">
        <f aca="false">B39-B40</f>
        <v>-17500</v>
      </c>
      <c r="C41" s="110" t="n">
        <f aca="false">C39-C40</f>
        <v>112346</v>
      </c>
      <c r="D41" s="110" t="n">
        <f aca="false">D39-D40</f>
        <v>509530</v>
      </c>
      <c r="E41" s="110" t="n">
        <f aca="false">E39-E40</f>
        <v>1260500</v>
      </c>
      <c r="F41" s="110"/>
    </row>
    <row r="43" customFormat="false" ht="15" hidden="false" customHeight="true" outlineLevel="0" collapsed="false">
      <c r="A43" s="9" t="s">
        <v>410</v>
      </c>
      <c r="B43" s="10" t="n">
        <f aca="false">Projections!B39</f>
        <v>80575.667</v>
      </c>
      <c r="C43" s="10" t="n">
        <f aca="false">Projections!C39</f>
        <v>-214188.6</v>
      </c>
      <c r="D43" s="10" t="n">
        <f aca="false">Projections!D39</f>
        <v>-60223</v>
      </c>
      <c r="E43" s="10" t="n">
        <f aca="false">Projections!E39</f>
        <v>590245</v>
      </c>
      <c r="F43" s="10"/>
    </row>
    <row r="44" customFormat="false" ht="15" hidden="false" customHeight="true" outlineLevel="0" collapsed="false">
      <c r="A44" s="7" t="s">
        <v>411</v>
      </c>
      <c r="B44" s="52" t="n">
        <f aca="false">B33</f>
        <v>92148.167</v>
      </c>
      <c r="C44" s="52" t="n">
        <f aca="false">C33</f>
        <v>-8300</v>
      </c>
      <c r="D44" s="52" t="n">
        <f aca="false">D33</f>
        <v>9200</v>
      </c>
      <c r="E44" s="52" t="n">
        <f aca="false">E33</f>
        <v>138190</v>
      </c>
      <c r="F44" s="52"/>
    </row>
    <row r="46" customFormat="false" ht="15" hidden="false" customHeight="true" outlineLevel="0" collapsed="false">
      <c r="A46" s="7" t="s">
        <v>412</v>
      </c>
      <c r="B46" s="109" t="n">
        <f aca="false">Projections!B48</f>
        <v>85575.667</v>
      </c>
      <c r="C46" s="109" t="n">
        <f aca="false">Projections!C48</f>
        <v>331880.126956881</v>
      </c>
      <c r="D46" s="109" t="n">
        <f aca="false">Projections!D48</f>
        <v>208040.986913762</v>
      </c>
      <c r="E46" s="109" t="n">
        <f aca="false">Projections!E48</f>
        <v>686071.346870643</v>
      </c>
      <c r="F46" s="109"/>
    </row>
    <row r="47" customFormat="false" ht="15" hidden="false" customHeight="true" outlineLevel="0" collapsed="false">
      <c r="A47" s="9" t="s">
        <v>413</v>
      </c>
      <c r="B47" s="110" t="n">
        <f aca="false">B36</f>
        <v>97148.167</v>
      </c>
      <c r="C47" s="110" t="n">
        <f aca="false">C36</f>
        <v>88848.167</v>
      </c>
      <c r="D47" s="110" t="n">
        <f aca="false">D36</f>
        <v>98048.167</v>
      </c>
      <c r="E47" s="110" t="n">
        <f aca="false">E36</f>
        <v>236238.167</v>
      </c>
      <c r="F47" s="110"/>
    </row>
    <row r="49" customFormat="false" ht="27.75" hidden="false" customHeight="true" outlineLevel="0" collapsed="false">
      <c r="A49" s="107" t="s">
        <v>414</v>
      </c>
      <c r="B49" s="112" t="s">
        <v>415</v>
      </c>
      <c r="C49" s="112"/>
      <c r="D49" s="112"/>
      <c r="E49" s="112"/>
      <c r="F49" s="112"/>
    </row>
  </sheetData>
  <mergeCells count="1">
    <mergeCell ref="B49:F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I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42"/>
    <col collapsed="false" customWidth="true" hidden="false" outlineLevel="0" max="8" min="2" style="1" width="15"/>
    <col collapsed="false" customWidth="true" hidden="false" outlineLevel="0" max="9" min="9" style="1" width="30"/>
  </cols>
  <sheetData>
    <row r="1" customFormat="false" ht="19.5" hidden="false" customHeight="true" outlineLevel="0" collapsed="false">
      <c r="A1" s="2" t="s">
        <v>416</v>
      </c>
    </row>
    <row r="2" customFormat="false" ht="15.75" hidden="false" customHeight="true" outlineLevel="0" collapsed="false">
      <c r="A2" s="39" t="s">
        <v>417</v>
      </c>
    </row>
    <row r="3" customFormat="false" ht="15" hidden="false" customHeight="true" outlineLevel="0" collapsed="false">
      <c r="A3" s="40" t="s">
        <v>418</v>
      </c>
    </row>
    <row r="4" customFormat="false" ht="15" hidden="false" customHeight="true" outlineLevel="0" collapsed="false">
      <c r="A4" s="4"/>
      <c r="B4" s="4" t="s">
        <v>2</v>
      </c>
      <c r="C4" s="4" t="s">
        <v>3</v>
      </c>
      <c r="D4" s="4" t="s">
        <v>4</v>
      </c>
      <c r="E4" s="4" t="s">
        <v>5</v>
      </c>
      <c r="F4" s="4" t="s">
        <v>419</v>
      </c>
      <c r="G4" s="4" t="s">
        <v>420</v>
      </c>
      <c r="H4" s="4" t="s">
        <v>421</v>
      </c>
      <c r="I4" s="4" t="s">
        <v>374</v>
      </c>
    </row>
    <row r="5" customFormat="false" ht="15" hidden="false" customHeight="true" outlineLevel="0" collapsed="false">
      <c r="A5" s="17" t="s">
        <v>422</v>
      </c>
      <c r="B5" s="18"/>
      <c r="C5" s="18"/>
      <c r="D5" s="18"/>
      <c r="E5" s="18"/>
      <c r="F5" s="18"/>
      <c r="G5" s="18"/>
      <c r="H5" s="18"/>
      <c r="I5" s="18"/>
    </row>
    <row r="6" customFormat="false" ht="15" hidden="false" customHeight="true" outlineLevel="0" collapsed="false">
      <c r="A6" s="11" t="s">
        <v>6</v>
      </c>
      <c r="B6" s="12" t="n">
        <f aca="false">Projections!B34</f>
        <v>194681</v>
      </c>
      <c r="C6" s="12" t="n">
        <f aca="false">Projections!C34</f>
        <v>315346</v>
      </c>
      <c r="D6" s="12" t="n">
        <f aca="false">Projections!D34</f>
        <v>797530</v>
      </c>
      <c r="E6" s="12" t="n">
        <f aca="false">Projections!E34</f>
        <v>1769500</v>
      </c>
      <c r="F6" s="12" t="n">
        <f aca="false">E6*(1+B9)</f>
        <v>2654250</v>
      </c>
      <c r="G6" s="12" t="n">
        <f aca="false">F6*(1+B9)</f>
        <v>3981375</v>
      </c>
      <c r="H6" s="12" t="n">
        <f aca="false">G6*(1+B9)</f>
        <v>5972062.5</v>
      </c>
      <c r="I6" s="12" t="s">
        <v>423</v>
      </c>
    </row>
    <row r="7" customFormat="false" ht="15" hidden="false" customHeight="true" outlineLevel="0" collapsed="false">
      <c r="A7" s="9" t="s">
        <v>13</v>
      </c>
      <c r="B7" s="10" t="n">
        <f aca="false">Projections!B45</f>
        <v>80575.667</v>
      </c>
      <c r="C7" s="10" t="n">
        <f aca="false">Projections!C45</f>
        <v>-253695.540043119</v>
      </c>
      <c r="D7" s="10" t="n">
        <f aca="false">Projections!D45</f>
        <v>-123839.140043119</v>
      </c>
      <c r="E7" s="10" t="n">
        <f aca="false">Projections!E45</f>
        <v>478030.359956881</v>
      </c>
      <c r="F7" s="10" t="n">
        <f aca="false">IF(E6&gt;0,F6*(E7/E6),0)</f>
        <v>717045.539935322</v>
      </c>
      <c r="G7" s="10" t="n">
        <f aca="false">IF(E6&gt;0,G6*(E7/E6),0)</f>
        <v>1075568.30990298</v>
      </c>
      <c r="H7" s="10" t="n">
        <f aca="false">IF(E6&gt;0,H6*(E7/E6),0)</f>
        <v>1613352.46485447</v>
      </c>
      <c r="I7" s="10" t="s">
        <v>424</v>
      </c>
    </row>
    <row r="8" customFormat="false" ht="15" hidden="false" customHeight="true" outlineLevel="0" collapsed="false">
      <c r="A8" s="7" t="s">
        <v>425</v>
      </c>
      <c r="B8" s="93"/>
      <c r="C8" s="93" t="n">
        <f aca="false">IF(B6&gt;0,(C6-B6)/B6,0)</f>
        <v>0.619808815446808</v>
      </c>
      <c r="D8" s="93" t="n">
        <f aca="false">IF(C6&gt;0,(D6-C6)/C6,0)</f>
        <v>1.52906331458144</v>
      </c>
      <c r="E8" s="93" t="n">
        <f aca="false">IF(D6&gt;0,(E6-D6)/D6,0)</f>
        <v>1.21872531440824</v>
      </c>
      <c r="F8" s="93" t="n">
        <f aca="false">IF(E6&gt;0,(F6-E6)/E6,0)</f>
        <v>0.5</v>
      </c>
      <c r="G8" s="93" t="n">
        <f aca="false">IF(F6&gt;0,(G6-F6)/F6,0)</f>
        <v>0.5</v>
      </c>
      <c r="H8" s="93" t="n">
        <f aca="false">IF(G6&gt;0,(H6-G6)/G6,0)</f>
        <v>0.5</v>
      </c>
      <c r="I8" s="93"/>
    </row>
    <row r="9" customFormat="false" ht="15" hidden="false" customHeight="true" outlineLevel="0" collapsed="false">
      <c r="A9" s="9" t="s">
        <v>426</v>
      </c>
      <c r="B9" s="113" t="n">
        <v>0.5</v>
      </c>
      <c r="C9" s="114"/>
      <c r="D9" s="114"/>
      <c r="E9" s="114"/>
      <c r="F9" s="114"/>
      <c r="G9" s="114"/>
      <c r="H9" s="114"/>
      <c r="I9" s="114" t="s">
        <v>427</v>
      </c>
    </row>
    <row r="10" customFormat="false" ht="15" hidden="false" customHeight="true" outlineLevel="0" collapsed="false">
      <c r="A10" s="17" t="s">
        <v>428</v>
      </c>
      <c r="B10" s="18"/>
      <c r="C10" s="18"/>
      <c r="D10" s="18"/>
      <c r="E10" s="18"/>
      <c r="F10" s="18"/>
      <c r="G10" s="18"/>
      <c r="H10" s="18"/>
      <c r="I10" s="18"/>
    </row>
    <row r="11" customFormat="false" ht="15" hidden="false" customHeight="true" outlineLevel="0" collapsed="false">
      <c r="A11" s="9" t="s">
        <v>429</v>
      </c>
      <c r="B11" s="115" t="n">
        <f aca="false">B6*5</f>
        <v>973405</v>
      </c>
      <c r="C11" s="115" t="n">
        <f aca="false">C6*5</f>
        <v>1576730</v>
      </c>
      <c r="D11" s="115" t="n">
        <f aca="false">D6*5</f>
        <v>3987650</v>
      </c>
      <c r="E11" s="115" t="n">
        <f aca="false">E6*5</f>
        <v>8847500</v>
      </c>
      <c r="F11" s="115" t="n">
        <f aca="false">F6*5</f>
        <v>13271250</v>
      </c>
      <c r="G11" s="115" t="n">
        <f aca="false">G6*5</f>
        <v>19906875</v>
      </c>
      <c r="H11" s="115" t="n">
        <f aca="false">H6*5</f>
        <v>29860312.5</v>
      </c>
      <c r="I11" s="115" t="s">
        <v>430</v>
      </c>
    </row>
    <row r="12" customFormat="false" ht="15" hidden="false" customHeight="true" outlineLevel="0" collapsed="false">
      <c r="A12" s="7" t="s">
        <v>431</v>
      </c>
      <c r="B12" s="116" t="n">
        <f aca="false">B6*8</f>
        <v>1557448</v>
      </c>
      <c r="C12" s="116" t="n">
        <f aca="false">C6*8</f>
        <v>2522768</v>
      </c>
      <c r="D12" s="116" t="n">
        <f aca="false">D6*8</f>
        <v>6380240</v>
      </c>
      <c r="E12" s="116" t="n">
        <f aca="false">E6*8</f>
        <v>14156000</v>
      </c>
      <c r="F12" s="116" t="n">
        <f aca="false">F6*8</f>
        <v>21234000</v>
      </c>
      <c r="G12" s="116" t="n">
        <f aca="false">G6*8</f>
        <v>31851000</v>
      </c>
      <c r="H12" s="116" t="n">
        <f aca="false">H6*8</f>
        <v>47776500</v>
      </c>
      <c r="I12" s="116" t="s">
        <v>432</v>
      </c>
    </row>
    <row r="13" customFormat="false" ht="15" hidden="false" customHeight="true" outlineLevel="0" collapsed="false">
      <c r="A13" s="9" t="s">
        <v>433</v>
      </c>
      <c r="B13" s="115" t="n">
        <f aca="false">B6*12</f>
        <v>2336172</v>
      </c>
      <c r="C13" s="115" t="n">
        <f aca="false">C6*12</f>
        <v>3784152</v>
      </c>
      <c r="D13" s="115" t="n">
        <f aca="false">D6*12</f>
        <v>9570360</v>
      </c>
      <c r="E13" s="115" t="n">
        <f aca="false">E6*12</f>
        <v>21234000</v>
      </c>
      <c r="F13" s="115" t="n">
        <f aca="false">F6*12</f>
        <v>31851000</v>
      </c>
      <c r="G13" s="115" t="n">
        <f aca="false">G6*12</f>
        <v>47776500</v>
      </c>
      <c r="H13" s="115" t="n">
        <f aca="false">H6*12</f>
        <v>71664750</v>
      </c>
      <c r="I13" s="115" t="s">
        <v>434</v>
      </c>
    </row>
    <row r="14" customFormat="false" ht="15" hidden="false" customHeight="true" outlineLevel="0" collapsed="false">
      <c r="A14" s="7" t="s">
        <v>435</v>
      </c>
      <c r="B14" s="116" t="n">
        <f aca="false">B6*15</f>
        <v>2920215</v>
      </c>
      <c r="C14" s="116" t="n">
        <f aca="false">C6*15</f>
        <v>4730190</v>
      </c>
      <c r="D14" s="116" t="n">
        <f aca="false">D6*15</f>
        <v>11962950</v>
      </c>
      <c r="E14" s="116" t="n">
        <f aca="false">E6*15</f>
        <v>26542500</v>
      </c>
      <c r="F14" s="116" t="n">
        <f aca="false">F6*15</f>
        <v>39813750</v>
      </c>
      <c r="G14" s="116" t="n">
        <f aca="false">G6*15</f>
        <v>59720625</v>
      </c>
      <c r="H14" s="116" t="n">
        <f aca="false">H6*15</f>
        <v>89580937.5</v>
      </c>
      <c r="I14" s="116" t="s">
        <v>436</v>
      </c>
    </row>
    <row r="16" customFormat="false" ht="15" hidden="false" customHeight="true" outlineLevel="0" collapsed="false">
      <c r="A16" s="17" t="s">
        <v>437</v>
      </c>
      <c r="B16" s="18"/>
      <c r="C16" s="18"/>
      <c r="D16" s="18"/>
      <c r="E16" s="18"/>
      <c r="F16" s="18"/>
      <c r="G16" s="18"/>
      <c r="H16" s="18"/>
      <c r="I16" s="18"/>
    </row>
    <row r="17" customFormat="false" ht="15" hidden="false" customHeight="true" outlineLevel="0" collapsed="false">
      <c r="A17" s="9" t="s">
        <v>438</v>
      </c>
      <c r="B17" s="115" t="n">
        <f aca="false">IF(B7&gt;0,B7*10,0)</f>
        <v>805756.67</v>
      </c>
      <c r="C17" s="115" t="n">
        <f aca="false">IF(C7&gt;0,C7*10,0)</f>
        <v>0</v>
      </c>
      <c r="D17" s="115" t="n">
        <f aca="false">IF(D7&gt;0,D7*10,0)</f>
        <v>0</v>
      </c>
      <c r="E17" s="115" t="n">
        <f aca="false">IF(E7&gt;0,E7*10,0)</f>
        <v>4780303.59956881</v>
      </c>
      <c r="F17" s="115" t="n">
        <f aca="false">IF(F7&gt;0,F7*10,0)</f>
        <v>7170455.39935322</v>
      </c>
      <c r="G17" s="115" t="n">
        <f aca="false">IF(G7&gt;0,G7*10,0)</f>
        <v>10755683.0990298</v>
      </c>
      <c r="H17" s="115" t="n">
        <f aca="false">IF(H7&gt;0,H7*10,0)</f>
        <v>16133524.6485447</v>
      </c>
      <c r="I17" s="115" t="s">
        <v>439</v>
      </c>
    </row>
    <row r="18" customFormat="false" ht="15" hidden="false" customHeight="true" outlineLevel="0" collapsed="false">
      <c r="A18" s="7" t="s">
        <v>440</v>
      </c>
      <c r="B18" s="116" t="n">
        <f aca="false">IF(B7&gt;0,B7*15,0)</f>
        <v>1208635.005</v>
      </c>
      <c r="C18" s="116" t="n">
        <f aca="false">IF(C7&gt;0,C7*15,0)</f>
        <v>0</v>
      </c>
      <c r="D18" s="116" t="n">
        <f aca="false">IF(D7&gt;0,D7*15,0)</f>
        <v>0</v>
      </c>
      <c r="E18" s="116" t="n">
        <f aca="false">IF(E7&gt;0,E7*15,0)</f>
        <v>7170455.39935322</v>
      </c>
      <c r="F18" s="116" t="n">
        <f aca="false">IF(F7&gt;0,F7*15,0)</f>
        <v>10755683.0990298</v>
      </c>
      <c r="G18" s="116" t="n">
        <f aca="false">IF(G7&gt;0,G7*15,0)</f>
        <v>16133524.6485447</v>
      </c>
      <c r="H18" s="116" t="n">
        <f aca="false">IF(H7&gt;0,H7*15,0)</f>
        <v>24200286.9728171</v>
      </c>
      <c r="I18" s="116" t="s">
        <v>441</v>
      </c>
    </row>
    <row r="19" customFormat="false" ht="15" hidden="false" customHeight="true" outlineLevel="0" collapsed="false">
      <c r="A19" s="9" t="s">
        <v>442</v>
      </c>
      <c r="B19" s="115" t="n">
        <f aca="false">IF(B7&gt;0,B7*25,0)</f>
        <v>2014391.675</v>
      </c>
      <c r="C19" s="115" t="n">
        <f aca="false">IF(C7&gt;0,C7*25,0)</f>
        <v>0</v>
      </c>
      <c r="D19" s="115" t="n">
        <f aca="false">IF(D7&gt;0,D7*25,0)</f>
        <v>0</v>
      </c>
      <c r="E19" s="115" t="n">
        <f aca="false">IF(E7&gt;0,E7*25,0)</f>
        <v>11950758.998922</v>
      </c>
      <c r="F19" s="115" t="n">
        <f aca="false">IF(F7&gt;0,F7*25,0)</f>
        <v>17926138.498383</v>
      </c>
      <c r="G19" s="115" t="n">
        <f aca="false">IF(G7&gt;0,G7*25,0)</f>
        <v>26889207.7475746</v>
      </c>
      <c r="H19" s="115" t="n">
        <f aca="false">IF(H7&gt;0,H7*25,0)</f>
        <v>40333811.6213618</v>
      </c>
      <c r="I19" s="115" t="s">
        <v>443</v>
      </c>
    </row>
    <row r="21" customFormat="false" ht="15" hidden="false" customHeight="true" outlineLevel="0" collapsed="false">
      <c r="A21" s="17" t="s">
        <v>444</v>
      </c>
      <c r="B21" s="18"/>
      <c r="C21" s="18"/>
      <c r="D21" s="18"/>
      <c r="E21" s="18"/>
      <c r="F21" s="18"/>
      <c r="G21" s="18"/>
      <c r="H21" s="18"/>
      <c r="I21" s="18"/>
    </row>
    <row r="22" customFormat="false" ht="15" hidden="false" customHeight="true" outlineLevel="0" collapsed="false">
      <c r="A22" s="7" t="s">
        <v>22</v>
      </c>
      <c r="B22" s="109" t="n">
        <f aca="false">Dashboard!B23</f>
        <v>250000</v>
      </c>
      <c r="C22" s="109" t="n">
        <f aca="false">B22</f>
        <v>250000</v>
      </c>
      <c r="D22" s="109" t="n">
        <f aca="false">B22</f>
        <v>250000</v>
      </c>
      <c r="E22" s="109" t="n">
        <f aca="false">B22</f>
        <v>250000</v>
      </c>
      <c r="F22" s="109" t="n">
        <f aca="false">B22</f>
        <v>250000</v>
      </c>
      <c r="G22" s="109" t="n">
        <f aca="false">B22</f>
        <v>250000</v>
      </c>
      <c r="H22" s="109" t="n">
        <f aca="false">B22</f>
        <v>250000</v>
      </c>
      <c r="I22" s="109" t="s">
        <v>445</v>
      </c>
    </row>
    <row r="24" customFormat="false" ht="15" hidden="false" customHeight="true" outlineLevel="0" collapsed="false">
      <c r="A24" s="67" t="s">
        <v>446</v>
      </c>
      <c r="B24" s="68"/>
      <c r="C24" s="68"/>
      <c r="D24" s="68"/>
      <c r="E24" s="68"/>
      <c r="F24" s="68"/>
      <c r="G24" s="68"/>
      <c r="H24" s="68"/>
      <c r="I24" s="68" t="s">
        <v>447</v>
      </c>
    </row>
    <row r="25" customFormat="false" ht="15" hidden="false" customHeight="true" outlineLevel="0" collapsed="false">
      <c r="A25" s="44" t="s">
        <v>448</v>
      </c>
      <c r="B25" s="117" t="n">
        <f aca="false">IF(3000000&gt;0,B22/3000000,0)</f>
        <v>0.0833333333333333</v>
      </c>
      <c r="C25" s="117" t="n">
        <f aca="false">IF(3000000&gt;0,B22/3000000,0)</f>
        <v>0.0833333333333333</v>
      </c>
      <c r="D25" s="117" t="n">
        <f aca="false">IF(3000000&gt;0,B22/3000000,0)</f>
        <v>0.0833333333333333</v>
      </c>
      <c r="E25" s="117" t="n">
        <f aca="false">IF(3000000&gt;0,B22/3000000,0)</f>
        <v>0.0833333333333333</v>
      </c>
      <c r="F25" s="117" t="n">
        <f aca="false">IF(3000000&gt;0,B22/3000000,0)</f>
        <v>0.0833333333333333</v>
      </c>
      <c r="G25" s="117" t="n">
        <f aca="false">IF(3000000&gt;0,B22/3000000,0)</f>
        <v>0.0833333333333333</v>
      </c>
      <c r="H25" s="117" t="n">
        <f aca="false">IF(3000000&gt;0,B22/3000000,0)</f>
        <v>0.0833333333333333</v>
      </c>
      <c r="I25" s="117" t="s">
        <v>449</v>
      </c>
    </row>
    <row r="26" customFormat="false" ht="15" hidden="false" customHeight="true" outlineLevel="0" collapsed="false">
      <c r="A26" s="42" t="s">
        <v>450</v>
      </c>
      <c r="B26" s="118" t="n">
        <f aca="false">B25*B12</f>
        <v>129787.333333333</v>
      </c>
      <c r="C26" s="118" t="n">
        <f aca="false">C25*C12</f>
        <v>210230.666666667</v>
      </c>
      <c r="D26" s="118" t="n">
        <f aca="false">D25*D12</f>
        <v>531686.666666667</v>
      </c>
      <c r="E26" s="118" t="n">
        <f aca="false">E25*E12</f>
        <v>1179666.66666667</v>
      </c>
      <c r="F26" s="118" t="n">
        <f aca="false">F25*F12</f>
        <v>1769500</v>
      </c>
      <c r="G26" s="118" t="n">
        <f aca="false">G25*G12</f>
        <v>2654250</v>
      </c>
      <c r="H26" s="118" t="n">
        <f aca="false">H25*H12</f>
        <v>3981375</v>
      </c>
      <c r="I26" s="118" t="s">
        <v>451</v>
      </c>
    </row>
    <row r="27" customFormat="false" ht="15" hidden="false" customHeight="true" outlineLevel="0" collapsed="false">
      <c r="A27" s="44" t="s">
        <v>452</v>
      </c>
      <c r="B27" s="45" t="n">
        <f aca="false">B25*B13</f>
        <v>194681</v>
      </c>
      <c r="C27" s="45" t="n">
        <f aca="false">C25*C13</f>
        <v>315346</v>
      </c>
      <c r="D27" s="45" t="n">
        <f aca="false">D25*D13</f>
        <v>797530</v>
      </c>
      <c r="E27" s="45" t="n">
        <f aca="false">E25*E13</f>
        <v>1769500</v>
      </c>
      <c r="F27" s="45" t="n">
        <f aca="false">F25*F13</f>
        <v>2654250</v>
      </c>
      <c r="G27" s="45" t="n">
        <f aca="false">G25*G13</f>
        <v>3981375</v>
      </c>
      <c r="H27" s="45" t="n">
        <f aca="false">H25*H13</f>
        <v>5972062.5</v>
      </c>
      <c r="I27" s="45" t="s">
        <v>453</v>
      </c>
    </row>
    <row r="28" customFormat="false" ht="15" hidden="false" customHeight="true" outlineLevel="0" collapsed="false">
      <c r="A28" s="42" t="s">
        <v>454</v>
      </c>
      <c r="B28" s="119" t="n">
        <f aca="false">IF(B22&gt;0,B26/B22,0)</f>
        <v>0.519149333333333</v>
      </c>
      <c r="C28" s="119" t="n">
        <f aca="false">IF(B22&gt;0,C26/B22,0)</f>
        <v>0.840922666666667</v>
      </c>
      <c r="D28" s="119" t="n">
        <f aca="false">IF(B22&gt;0,D26/B22,0)</f>
        <v>2.12674666666667</v>
      </c>
      <c r="E28" s="119" t="n">
        <f aca="false">IF(B22&gt;0,E26/B22,0)</f>
        <v>4.71866666666667</v>
      </c>
      <c r="F28" s="119" t="n">
        <f aca="false">IF(B22&gt;0,F26/B22,0)</f>
        <v>7.078</v>
      </c>
      <c r="G28" s="119" t="n">
        <f aca="false">IF(B22&gt;0,G26/B22,0)</f>
        <v>10.617</v>
      </c>
      <c r="H28" s="119" t="n">
        <f aca="false">IF(B22&gt;0,H26/B22,0)</f>
        <v>15.9255</v>
      </c>
      <c r="I28" s="119" t="s">
        <v>455</v>
      </c>
    </row>
    <row r="29" customFormat="false" ht="15" hidden="false" customHeight="true" outlineLevel="0" collapsed="false">
      <c r="A29" s="67" t="s">
        <v>456</v>
      </c>
      <c r="B29" s="68"/>
      <c r="C29" s="68"/>
      <c r="D29" s="68"/>
      <c r="E29" s="68"/>
      <c r="F29" s="68"/>
      <c r="G29" s="68"/>
      <c r="H29" s="68"/>
      <c r="I29" s="68" t="s">
        <v>457</v>
      </c>
    </row>
    <row r="30" customFormat="false" ht="15" hidden="false" customHeight="true" outlineLevel="0" collapsed="false">
      <c r="A30" s="42" t="s">
        <v>448</v>
      </c>
      <c r="B30" s="120" t="n">
        <f aca="false">IF(Dashboard!B32&gt;0,B22/Dashboard!B32,0)</f>
        <v>0.05</v>
      </c>
      <c r="C30" s="120" t="n">
        <f aca="false">IF(Dashboard!B32&gt;0,B22/Dashboard!B32,0)</f>
        <v>0.05</v>
      </c>
      <c r="D30" s="120" t="n">
        <f aca="false">IF(Dashboard!B32&gt;0,B22/Dashboard!B32,0)</f>
        <v>0.05</v>
      </c>
      <c r="E30" s="120" t="n">
        <f aca="false">IF(Dashboard!B32&gt;0,B22/Dashboard!B32,0)</f>
        <v>0.05</v>
      </c>
      <c r="F30" s="120" t="n">
        <f aca="false">IF(Dashboard!B32&gt;0,B22/Dashboard!B32,0)</f>
        <v>0.05</v>
      </c>
      <c r="G30" s="120" t="n">
        <f aca="false">IF(Dashboard!B32&gt;0,B22/Dashboard!B32,0)</f>
        <v>0.05</v>
      </c>
      <c r="H30" s="120" t="n">
        <f aca="false">IF(Dashboard!B32&gt;0,B22/Dashboard!B32,0)</f>
        <v>0.05</v>
      </c>
      <c r="I30" s="120" t="s">
        <v>449</v>
      </c>
    </row>
    <row r="31" customFormat="false" ht="15" hidden="false" customHeight="true" outlineLevel="0" collapsed="false">
      <c r="A31" s="44" t="s">
        <v>450</v>
      </c>
      <c r="B31" s="45" t="n">
        <f aca="false">B30*B12</f>
        <v>77872.4</v>
      </c>
      <c r="C31" s="45" t="n">
        <f aca="false">C30*C12</f>
        <v>126138.4</v>
      </c>
      <c r="D31" s="45" t="n">
        <f aca="false">D30*D12</f>
        <v>319012</v>
      </c>
      <c r="E31" s="45" t="n">
        <f aca="false">E30*E12</f>
        <v>707800</v>
      </c>
      <c r="F31" s="45" t="n">
        <f aca="false">F30*F12</f>
        <v>1061700</v>
      </c>
      <c r="G31" s="45" t="n">
        <f aca="false">G30*G12</f>
        <v>1592550</v>
      </c>
      <c r="H31" s="45" t="n">
        <f aca="false">H30*H12</f>
        <v>2388825</v>
      </c>
      <c r="I31" s="45" t="s">
        <v>451</v>
      </c>
    </row>
    <row r="32" customFormat="false" ht="15" hidden="false" customHeight="true" outlineLevel="0" collapsed="false">
      <c r="A32" s="42" t="s">
        <v>452</v>
      </c>
      <c r="B32" s="118" t="n">
        <f aca="false">B30*B13</f>
        <v>116808.6</v>
      </c>
      <c r="C32" s="118" t="n">
        <f aca="false">C30*C13</f>
        <v>189207.6</v>
      </c>
      <c r="D32" s="118" t="n">
        <f aca="false">D30*D13</f>
        <v>478518</v>
      </c>
      <c r="E32" s="118" t="n">
        <f aca="false">E30*E13</f>
        <v>1061700</v>
      </c>
      <c r="F32" s="118" t="n">
        <f aca="false">F30*F13</f>
        <v>1592550</v>
      </c>
      <c r="G32" s="118" t="n">
        <f aca="false">G30*G13</f>
        <v>2388825</v>
      </c>
      <c r="H32" s="118" t="n">
        <f aca="false">H30*H13</f>
        <v>3583237.5</v>
      </c>
      <c r="I32" s="118" t="s">
        <v>453</v>
      </c>
    </row>
    <row r="33" customFormat="false" ht="15" hidden="false" customHeight="true" outlineLevel="0" collapsed="false">
      <c r="A33" s="44" t="s">
        <v>454</v>
      </c>
      <c r="B33" s="121" t="n">
        <f aca="false">IF(B22&gt;0,B31/B22,0)</f>
        <v>0.3114896</v>
      </c>
      <c r="C33" s="121" t="n">
        <f aca="false">IF(B22&gt;0,C31/B22,0)</f>
        <v>0.5045536</v>
      </c>
      <c r="D33" s="121" t="n">
        <f aca="false">IF(B22&gt;0,D31/B22,0)</f>
        <v>1.276048</v>
      </c>
      <c r="E33" s="121" t="n">
        <f aca="false">IF(B22&gt;0,E31/B22,0)</f>
        <v>2.8312</v>
      </c>
      <c r="F33" s="121" t="n">
        <f aca="false">IF(B22&gt;0,F31/B22,0)</f>
        <v>4.2468</v>
      </c>
      <c r="G33" s="121" t="n">
        <f aca="false">IF(B22&gt;0,G31/B22,0)</f>
        <v>6.3702</v>
      </c>
      <c r="H33" s="121" t="n">
        <f aca="false">IF(B22&gt;0,H31/B22,0)</f>
        <v>9.5553</v>
      </c>
      <c r="I33" s="121" t="s">
        <v>455</v>
      </c>
    </row>
    <row r="34" customFormat="false" ht="15" hidden="false" customHeight="true" outlineLevel="0" collapsed="false">
      <c r="A34" s="67" t="s">
        <v>458</v>
      </c>
      <c r="B34" s="68"/>
      <c r="C34" s="68"/>
      <c r="D34" s="68"/>
      <c r="E34" s="68"/>
      <c r="F34" s="68"/>
      <c r="G34" s="68"/>
      <c r="H34" s="68"/>
      <c r="I34" s="68" t="s">
        <v>459</v>
      </c>
    </row>
    <row r="35" customFormat="false" ht="15" hidden="false" customHeight="true" outlineLevel="0" collapsed="false">
      <c r="A35" s="44" t="s">
        <v>448</v>
      </c>
      <c r="B35" s="117" t="n">
        <f aca="false">IF(8000000&gt;0,B22/8000000,0)</f>
        <v>0.03125</v>
      </c>
      <c r="C35" s="117" t="n">
        <f aca="false">IF(8000000&gt;0,B22/8000000,0)</f>
        <v>0.03125</v>
      </c>
      <c r="D35" s="117" t="n">
        <f aca="false">IF(8000000&gt;0,B22/8000000,0)</f>
        <v>0.03125</v>
      </c>
      <c r="E35" s="117" t="n">
        <f aca="false">IF(8000000&gt;0,B22/8000000,0)</f>
        <v>0.03125</v>
      </c>
      <c r="F35" s="117" t="n">
        <f aca="false">IF(8000000&gt;0,B22/8000000,0)</f>
        <v>0.03125</v>
      </c>
      <c r="G35" s="117" t="n">
        <f aca="false">IF(8000000&gt;0,B22/8000000,0)</f>
        <v>0.03125</v>
      </c>
      <c r="H35" s="117" t="n">
        <f aca="false">IF(8000000&gt;0,B22/8000000,0)</f>
        <v>0.03125</v>
      </c>
      <c r="I35" s="117" t="s">
        <v>449</v>
      </c>
    </row>
    <row r="36" customFormat="false" ht="15" hidden="false" customHeight="true" outlineLevel="0" collapsed="false">
      <c r="A36" s="42" t="s">
        <v>450</v>
      </c>
      <c r="B36" s="118" t="n">
        <f aca="false">B35*B12</f>
        <v>48670.25</v>
      </c>
      <c r="C36" s="118" t="n">
        <f aca="false">C35*C12</f>
        <v>78836.5</v>
      </c>
      <c r="D36" s="118" t="n">
        <f aca="false">D35*D12</f>
        <v>199382.5</v>
      </c>
      <c r="E36" s="118" t="n">
        <f aca="false">E35*E12</f>
        <v>442375</v>
      </c>
      <c r="F36" s="118" t="n">
        <f aca="false">F35*F12</f>
        <v>663562.5</v>
      </c>
      <c r="G36" s="118" t="n">
        <f aca="false">G35*G12</f>
        <v>995343.75</v>
      </c>
      <c r="H36" s="118" t="n">
        <f aca="false">H35*H12</f>
        <v>1493015.625</v>
      </c>
      <c r="I36" s="118" t="s">
        <v>451</v>
      </c>
    </row>
    <row r="37" customFormat="false" ht="15" hidden="false" customHeight="true" outlineLevel="0" collapsed="false">
      <c r="A37" s="44" t="s">
        <v>452</v>
      </c>
      <c r="B37" s="45" t="n">
        <f aca="false">B35*B13</f>
        <v>73005.375</v>
      </c>
      <c r="C37" s="45" t="n">
        <f aca="false">C35*C13</f>
        <v>118254.75</v>
      </c>
      <c r="D37" s="45" t="n">
        <f aca="false">D35*D13</f>
        <v>299073.75</v>
      </c>
      <c r="E37" s="45" t="n">
        <f aca="false">E35*E13</f>
        <v>663562.5</v>
      </c>
      <c r="F37" s="45" t="n">
        <f aca="false">F35*F13</f>
        <v>995343.75</v>
      </c>
      <c r="G37" s="45" t="n">
        <f aca="false">G35*G13</f>
        <v>1493015.625</v>
      </c>
      <c r="H37" s="45" t="n">
        <f aca="false">H35*H13</f>
        <v>2239523.4375</v>
      </c>
      <c r="I37" s="45" t="s">
        <v>453</v>
      </c>
    </row>
    <row r="38" customFormat="false" ht="15" hidden="false" customHeight="true" outlineLevel="0" collapsed="false">
      <c r="A38" s="42" t="s">
        <v>454</v>
      </c>
      <c r="B38" s="119" t="n">
        <f aca="false">IF(B22&gt;0,B36/B22,0)</f>
        <v>0.194681</v>
      </c>
      <c r="C38" s="119" t="n">
        <f aca="false">IF(B22&gt;0,C36/B22,0)</f>
        <v>0.315346</v>
      </c>
      <c r="D38" s="119" t="n">
        <f aca="false">IF(B22&gt;0,D36/B22,0)</f>
        <v>0.79753</v>
      </c>
      <c r="E38" s="119" t="n">
        <f aca="false">IF(B22&gt;0,E36/B22,0)</f>
        <v>1.7695</v>
      </c>
      <c r="F38" s="119" t="n">
        <f aca="false">IF(B22&gt;0,F36/B22,0)</f>
        <v>2.65425</v>
      </c>
      <c r="G38" s="119" t="n">
        <f aca="false">IF(B22&gt;0,G36/B22,0)</f>
        <v>3.981375</v>
      </c>
      <c r="H38" s="119" t="n">
        <f aca="false">IF(B22&gt;0,H36/B22,0)</f>
        <v>5.9720625</v>
      </c>
      <c r="I38" s="119" t="s">
        <v>455</v>
      </c>
    </row>
    <row r="39" customFormat="false" ht="15" hidden="false" customHeight="true" outlineLevel="0" collapsed="false">
      <c r="A39" s="17" t="s">
        <v>460</v>
      </c>
      <c r="B39" s="18"/>
      <c r="C39" s="18"/>
      <c r="D39" s="18"/>
      <c r="E39" s="18"/>
      <c r="F39" s="18"/>
      <c r="G39" s="18"/>
      <c r="H39" s="18"/>
      <c r="I39" s="18"/>
    </row>
    <row r="40" customFormat="false" ht="15" hidden="false" customHeight="true" outlineLevel="0" collapsed="false">
      <c r="A40" s="7" t="s">
        <v>24</v>
      </c>
      <c r="B40" s="109" t="n">
        <f aca="false">Dashboard!B24</f>
        <v>150000</v>
      </c>
      <c r="C40" s="109"/>
      <c r="D40" s="109"/>
      <c r="E40" s="109"/>
      <c r="F40" s="109"/>
      <c r="G40" s="109"/>
      <c r="H40" s="109"/>
      <c r="I40" s="109" t="s">
        <v>445</v>
      </c>
    </row>
    <row r="41" customFormat="false" ht="15" hidden="false" customHeight="true" outlineLevel="0" collapsed="false">
      <c r="A41" s="9" t="s">
        <v>461</v>
      </c>
      <c r="B41" s="122" t="n">
        <f aca="false">Dashboard!B28</f>
        <v>0.05</v>
      </c>
      <c r="C41" s="122"/>
      <c r="D41" s="122"/>
      <c r="E41" s="122"/>
      <c r="F41" s="122"/>
      <c r="G41" s="122"/>
      <c r="H41" s="122"/>
      <c r="I41" s="122" t="s">
        <v>462</v>
      </c>
    </row>
    <row r="42" customFormat="false" ht="15" hidden="false" customHeight="true" outlineLevel="0" collapsed="false">
      <c r="A42" s="7" t="s">
        <v>463</v>
      </c>
      <c r="B42" s="15" t="n">
        <f aca="false">Dashboard!B29</f>
        <v>1.5</v>
      </c>
      <c r="C42" s="15"/>
      <c r="D42" s="15"/>
      <c r="E42" s="15"/>
      <c r="F42" s="15"/>
      <c r="G42" s="15"/>
      <c r="H42" s="15"/>
      <c r="I42" s="15" t="s">
        <v>462</v>
      </c>
    </row>
    <row r="43" customFormat="false" ht="15" hidden="false" customHeight="true" outlineLevel="0" collapsed="false">
      <c r="A43" s="5" t="s">
        <v>464</v>
      </c>
      <c r="B43" s="41" t="n">
        <f aca="false">B40*B42</f>
        <v>225000</v>
      </c>
      <c r="C43" s="41"/>
      <c r="D43" s="41"/>
      <c r="E43" s="41"/>
      <c r="F43" s="41"/>
      <c r="G43" s="41"/>
      <c r="H43" s="41"/>
      <c r="I43" s="41" t="s">
        <v>465</v>
      </c>
    </row>
    <row r="45" customFormat="false" ht="15" hidden="false" customHeight="true" outlineLevel="0" collapsed="false">
      <c r="A45" s="9" t="s">
        <v>466</v>
      </c>
      <c r="B45" s="10" t="n">
        <f aca="false">B6*B41</f>
        <v>9734.05</v>
      </c>
      <c r="C45" s="10" t="n">
        <f aca="false">C6*B41</f>
        <v>15767.3</v>
      </c>
      <c r="D45" s="10" t="n">
        <f aca="false">D6*B41</f>
        <v>39876.5</v>
      </c>
      <c r="E45" s="10" t="n">
        <f aca="false">E6*B41</f>
        <v>88475</v>
      </c>
      <c r="F45" s="10" t="n">
        <f aca="false">F6*B41</f>
        <v>132712.5</v>
      </c>
      <c r="G45" s="10" t="n">
        <f aca="false">G6*B41</f>
        <v>199068.75</v>
      </c>
      <c r="H45" s="10" t="n">
        <f aca="false">H6*B41</f>
        <v>298603.125</v>
      </c>
      <c r="I45" s="10" t="s">
        <v>467</v>
      </c>
    </row>
    <row r="46" customFormat="false" ht="15" hidden="false" customHeight="true" outlineLevel="0" collapsed="false">
      <c r="A46" s="11" t="s">
        <v>468</v>
      </c>
      <c r="B46" s="48" t="n">
        <f aca="false">MIN(B45,B43)</f>
        <v>9734.05</v>
      </c>
      <c r="C46" s="48" t="n">
        <f aca="false">MIN(B46+C45,B43)</f>
        <v>25501.35</v>
      </c>
      <c r="D46" s="48" t="n">
        <f aca="false">MIN(C46+D45,B43)</f>
        <v>65377.85</v>
      </c>
      <c r="E46" s="48" t="n">
        <f aca="false">MIN(D46+E45,B43)</f>
        <v>153852.85</v>
      </c>
      <c r="F46" s="48" t="n">
        <f aca="false">MIN(E46+F45,B43)</f>
        <v>225000</v>
      </c>
      <c r="G46" s="48" t="n">
        <f aca="false">MIN(F46+G45,B43)</f>
        <v>225000</v>
      </c>
      <c r="H46" s="48" t="n">
        <f aca="false">MIN(G46+H45,B43)</f>
        <v>225000</v>
      </c>
      <c r="I46" s="48" t="s">
        <v>469</v>
      </c>
    </row>
    <row r="47" customFormat="false" ht="15" hidden="false" customHeight="true" outlineLevel="0" collapsed="false">
      <c r="A47" s="9" t="s">
        <v>470</v>
      </c>
      <c r="B47" s="110" t="n">
        <f aca="false">MAX(0,B43-B46)</f>
        <v>215265.95</v>
      </c>
      <c r="C47" s="110" t="n">
        <f aca="false">MAX(0,B43-C46)</f>
        <v>199498.65</v>
      </c>
      <c r="D47" s="110" t="n">
        <f aca="false">MAX(0,B43-D46)</f>
        <v>159622.15</v>
      </c>
      <c r="E47" s="110" t="n">
        <f aca="false">MAX(0,B43-E46)</f>
        <v>71147.15</v>
      </c>
      <c r="F47" s="110" t="n">
        <f aca="false">MAX(0,B43-F46)</f>
        <v>0</v>
      </c>
      <c r="G47" s="110" t="n">
        <f aca="false">MAX(0,B43-G46)</f>
        <v>0</v>
      </c>
      <c r="H47" s="110" t="n">
        <f aca="false">MAX(0,B43-H46)</f>
        <v>0</v>
      </c>
      <c r="I47" s="110" t="s">
        <v>471</v>
      </c>
    </row>
    <row r="48" customFormat="false" ht="15" hidden="false" customHeight="true" outlineLevel="0" collapsed="false">
      <c r="A48" s="7" t="s">
        <v>472</v>
      </c>
      <c r="B48" s="123" t="str">
        <f aca="false">IF(B47&lt;=0,"YES","NO")</f>
        <v>NO</v>
      </c>
      <c r="C48" s="123" t="str">
        <f aca="false">IF(C47&lt;=0,"YES","NO")</f>
        <v>NO</v>
      </c>
      <c r="D48" s="123" t="str">
        <f aca="false">IF(D47&lt;=0,"YES","NO")</f>
        <v>NO</v>
      </c>
      <c r="E48" s="123" t="str">
        <f aca="false">IF(E47&lt;=0,"YES","NO")</f>
        <v>NO</v>
      </c>
      <c r="F48" s="123" t="str">
        <f aca="false">IF(F47&lt;=0,"YES","NO")</f>
        <v>YES</v>
      </c>
      <c r="G48" s="123" t="str">
        <f aca="false">IF(G47&lt;=0,"YES","NO")</f>
        <v>YES</v>
      </c>
      <c r="H48" s="123" t="str">
        <f aca="false">IF(H47&lt;=0,"YES","NO")</f>
        <v>YES</v>
      </c>
      <c r="I48" s="123"/>
    </row>
    <row r="50" customFormat="false" ht="15" hidden="false" customHeight="true" outlineLevel="0" collapsed="false">
      <c r="A50" s="17" t="s">
        <v>473</v>
      </c>
      <c r="B50" s="18"/>
      <c r="C50" s="18"/>
      <c r="D50" s="18"/>
      <c r="E50" s="18"/>
      <c r="F50" s="18"/>
      <c r="G50" s="18"/>
      <c r="H50" s="18"/>
      <c r="I50" s="18"/>
    </row>
    <row r="51" customFormat="false" ht="15" hidden="false" customHeight="true" outlineLevel="0" collapsed="false">
      <c r="A51" s="9" t="s">
        <v>26</v>
      </c>
      <c r="B51" s="10" t="n">
        <f aca="false">Dashboard!B25</f>
        <v>100000</v>
      </c>
      <c r="C51" s="10"/>
      <c r="D51" s="10"/>
      <c r="E51" s="10"/>
      <c r="F51" s="10"/>
      <c r="G51" s="10"/>
      <c r="H51" s="10"/>
      <c r="I51" s="10" t="s">
        <v>445</v>
      </c>
    </row>
    <row r="52" customFormat="false" ht="15" hidden="false" customHeight="true" outlineLevel="0" collapsed="false">
      <c r="A52" s="7" t="s">
        <v>474</v>
      </c>
      <c r="B52" s="8" t="n">
        <f aca="false">Dashboard!B30</f>
        <v>0.06</v>
      </c>
      <c r="C52" s="8"/>
      <c r="D52" s="8"/>
      <c r="E52" s="8"/>
      <c r="F52" s="8"/>
      <c r="G52" s="8"/>
      <c r="H52" s="8"/>
      <c r="I52" s="8" t="s">
        <v>462</v>
      </c>
    </row>
    <row r="53" customFormat="false" ht="15" hidden="false" customHeight="true" outlineLevel="0" collapsed="false">
      <c r="A53" s="9" t="s">
        <v>475</v>
      </c>
      <c r="B53" s="13" t="n">
        <f aca="false">Dashboard!B31</f>
        <v>5</v>
      </c>
      <c r="C53" s="13"/>
      <c r="D53" s="13"/>
      <c r="E53" s="13"/>
      <c r="F53" s="13"/>
      <c r="G53" s="13"/>
      <c r="H53" s="13"/>
      <c r="I53" s="13" t="s">
        <v>462</v>
      </c>
    </row>
    <row r="54" customFormat="false" ht="15" hidden="false" customHeight="true" outlineLevel="0" collapsed="false">
      <c r="A54" s="11" t="s">
        <v>476</v>
      </c>
      <c r="B54" s="48" t="n">
        <f aca="false">PMT(B52,B53,-B51)</f>
        <v>23739.640043119</v>
      </c>
      <c r="C54" s="48"/>
      <c r="D54" s="48"/>
      <c r="E54" s="48"/>
      <c r="F54" s="48"/>
      <c r="G54" s="48"/>
      <c r="H54" s="48"/>
      <c r="I54" s="48" t="s">
        <v>477</v>
      </c>
    </row>
    <row r="56" customFormat="false" ht="15" hidden="false" customHeight="true" outlineLevel="0" collapsed="false">
      <c r="A56" s="7" t="s">
        <v>478</v>
      </c>
      <c r="B56" s="52" t="n">
        <v>0</v>
      </c>
      <c r="C56" s="52" t="n">
        <f aca="false">B54</f>
        <v>23739.640043119</v>
      </c>
      <c r="D56" s="52" t="n">
        <f aca="false">B54</f>
        <v>23739.640043119</v>
      </c>
      <c r="E56" s="52" t="n">
        <f aca="false">B54</f>
        <v>23739.640043119</v>
      </c>
      <c r="F56" s="52" t="n">
        <f aca="false">B54</f>
        <v>23739.640043119</v>
      </c>
      <c r="G56" s="52" t="n">
        <f aca="false">B54</f>
        <v>23739.640043119</v>
      </c>
      <c r="H56" s="52" t="n">
        <v>0</v>
      </c>
      <c r="I56" s="52" t="s">
        <v>479</v>
      </c>
    </row>
    <row r="57" customFormat="false" ht="15" hidden="false" customHeight="true" outlineLevel="0" collapsed="false">
      <c r="A57" s="9" t="s">
        <v>468</v>
      </c>
      <c r="B57" s="110" t="n">
        <f aca="false">B56</f>
        <v>0</v>
      </c>
      <c r="C57" s="110" t="n">
        <f aca="false">B57+C56</f>
        <v>23739.640043119</v>
      </c>
      <c r="D57" s="110" t="n">
        <f aca="false">C57+D56</f>
        <v>47479.2800862379</v>
      </c>
      <c r="E57" s="110" t="n">
        <f aca="false">D57+E56</f>
        <v>71218.9201293569</v>
      </c>
      <c r="F57" s="110" t="n">
        <f aca="false">E57+F56</f>
        <v>94958.5601724759</v>
      </c>
      <c r="G57" s="110" t="n">
        <f aca="false">F57+G56</f>
        <v>118698.200215595</v>
      </c>
      <c r="H57" s="110" t="n">
        <f aca="false">G57+H56</f>
        <v>118698.200215595</v>
      </c>
      <c r="I57" s="110"/>
    </row>
    <row r="58" customFormat="false" ht="15" hidden="false" customHeight="true" outlineLevel="0" collapsed="false">
      <c r="A58" s="7" t="s">
        <v>480</v>
      </c>
      <c r="B58" s="52" t="n">
        <f aca="false">B54*B53-B51</f>
        <v>18698.2002155948</v>
      </c>
      <c r="C58" s="52"/>
      <c r="D58" s="52"/>
      <c r="E58" s="52"/>
      <c r="F58" s="52"/>
      <c r="G58" s="52"/>
      <c r="H58" s="52"/>
      <c r="I58" s="52" t="s">
        <v>481</v>
      </c>
    </row>
    <row r="60" customFormat="false" ht="15" hidden="false" customHeight="true" outlineLevel="0" collapsed="false">
      <c r="A60" s="17" t="s">
        <v>482</v>
      </c>
      <c r="B60" s="18"/>
      <c r="C60" s="18"/>
      <c r="D60" s="18"/>
      <c r="E60" s="18"/>
      <c r="F60" s="18"/>
      <c r="G60" s="18"/>
      <c r="H60" s="18"/>
      <c r="I60" s="18"/>
    </row>
    <row r="61" customFormat="false" ht="15" hidden="false" customHeight="true" outlineLevel="0" collapsed="false">
      <c r="A61" s="5" t="s">
        <v>483</v>
      </c>
      <c r="B61" s="6" t="n">
        <f aca="false">Dashboard!B26</f>
        <v>500000</v>
      </c>
      <c r="C61" s="6"/>
      <c r="D61" s="6"/>
      <c r="E61" s="6"/>
      <c r="F61" s="6"/>
      <c r="G61" s="6"/>
      <c r="H61" s="6"/>
      <c r="I61" s="6" t="s">
        <v>484</v>
      </c>
    </row>
    <row r="62" customFormat="false" ht="15" hidden="false" customHeight="true" outlineLevel="0" collapsed="false">
      <c r="A62" s="42" t="s">
        <v>485</v>
      </c>
      <c r="B62" s="118" t="n">
        <f aca="false">B22</f>
        <v>250000</v>
      </c>
      <c r="C62" s="118" t="n">
        <f aca="false">B22/B61</f>
        <v>0.5</v>
      </c>
      <c r="D62" s="118"/>
      <c r="E62" s="118"/>
      <c r="F62" s="118"/>
      <c r="G62" s="118"/>
      <c r="H62" s="118"/>
      <c r="I62" s="118"/>
    </row>
    <row r="63" customFormat="false" ht="15" hidden="false" customHeight="true" outlineLevel="0" collapsed="false">
      <c r="A63" s="44" t="s">
        <v>486</v>
      </c>
      <c r="B63" s="45" t="n">
        <f aca="false">B40</f>
        <v>150000</v>
      </c>
      <c r="C63" s="45" t="n">
        <f aca="false">B40/B61</f>
        <v>0.3</v>
      </c>
      <c r="D63" s="45"/>
      <c r="E63" s="45"/>
      <c r="F63" s="45"/>
      <c r="G63" s="45"/>
      <c r="H63" s="45"/>
      <c r="I63" s="45"/>
    </row>
    <row r="64" customFormat="false" ht="15" hidden="false" customHeight="true" outlineLevel="0" collapsed="false">
      <c r="A64" s="42" t="s">
        <v>487</v>
      </c>
      <c r="B64" s="118" t="n">
        <f aca="false">B51</f>
        <v>100000</v>
      </c>
      <c r="C64" s="118" t="n">
        <f aca="false">B51/B61</f>
        <v>0.2</v>
      </c>
      <c r="D64" s="118"/>
      <c r="E64" s="118"/>
      <c r="F64" s="118"/>
      <c r="G64" s="118"/>
      <c r="H64" s="118"/>
      <c r="I64" s="118"/>
    </row>
    <row r="66" customFormat="false" ht="15" hidden="false" customHeight="true" outlineLevel="0" collapsed="false">
      <c r="A66" s="11" t="s">
        <v>488</v>
      </c>
      <c r="B66" s="48" t="n">
        <f aca="false">B45+B56</f>
        <v>9734.05</v>
      </c>
      <c r="C66" s="48" t="n">
        <f aca="false">C45+C56</f>
        <v>39506.940043119</v>
      </c>
      <c r="D66" s="48" t="n">
        <f aca="false">D45+D56</f>
        <v>63616.140043119</v>
      </c>
      <c r="E66" s="48" t="n">
        <f aca="false">E45+E56</f>
        <v>112214.640043119</v>
      </c>
      <c r="F66" s="48" t="n">
        <f aca="false">F45+F56</f>
        <v>156452.140043119</v>
      </c>
      <c r="G66" s="48" t="n">
        <f aca="false">G45+G56</f>
        <v>222808.390043119</v>
      </c>
      <c r="H66" s="48" t="n">
        <f aca="false">H45+H56</f>
        <v>298603.125</v>
      </c>
      <c r="I66" s="48" t="s">
        <v>489</v>
      </c>
    </row>
    <row r="67" customFormat="false" ht="15" hidden="false" customHeight="true" outlineLevel="0" collapsed="false">
      <c r="A67" s="9" t="s">
        <v>490</v>
      </c>
      <c r="B67" s="94" t="n">
        <f aca="false">IF(B6&gt;0,B66/B6,0)</f>
        <v>0.05</v>
      </c>
      <c r="C67" s="94" t="n">
        <f aca="false">IF(C6&gt;0,C66/C6,0)</f>
        <v>0.12528124676742</v>
      </c>
      <c r="D67" s="94" t="n">
        <f aca="false">IF(D6&gt;0,D66/D6,0)</f>
        <v>0.0797664539805637</v>
      </c>
      <c r="E67" s="94" t="n">
        <f aca="false">IF(E6&gt;0,E66/E6,0)</f>
        <v>0.0634160158480469</v>
      </c>
      <c r="F67" s="94" t="n">
        <f aca="false">IF(F6&gt;0,F66/F6,0)</f>
        <v>0.0589440105653646</v>
      </c>
      <c r="G67" s="94" t="n">
        <f aca="false">IF(G6&gt;0,G66/G6,0)</f>
        <v>0.0559626737102431</v>
      </c>
      <c r="H67" s="94" t="n">
        <f aca="false">IF(H6&gt;0,H66/H6,0)</f>
        <v>0.05</v>
      </c>
      <c r="I67" s="94"/>
    </row>
    <row r="69" customFormat="false" ht="15" hidden="false" customHeight="true" outlineLevel="0" collapsed="false">
      <c r="A69" s="9" t="s">
        <v>491</v>
      </c>
      <c r="B69" s="122" t="n">
        <f aca="false">Dashboard!B34</f>
        <v>0.05</v>
      </c>
      <c r="C69" s="122"/>
      <c r="D69" s="122"/>
      <c r="E69" s="122"/>
      <c r="F69" s="122"/>
      <c r="G69" s="122"/>
      <c r="H69" s="122"/>
      <c r="I69" s="122" t="s">
        <v>484</v>
      </c>
    </row>
    <row r="70" customFormat="false" ht="15" hidden="false" customHeight="true" outlineLevel="0" collapsed="false">
      <c r="A70" s="11" t="s">
        <v>44</v>
      </c>
      <c r="B70" s="124" t="n">
        <f aca="false">Dashboard!B38</f>
        <v>0.95</v>
      </c>
      <c r="C70" s="124"/>
      <c r="D70" s="124"/>
      <c r="E70" s="124"/>
      <c r="F70" s="124"/>
      <c r="G70" s="124"/>
      <c r="H70" s="124"/>
      <c r="I70" s="124"/>
    </row>
    <row r="72" customFormat="false" ht="15" hidden="false" customHeight="true" outlineLevel="0" collapsed="false">
      <c r="A72" s="17" t="s">
        <v>492</v>
      </c>
      <c r="B72" s="18"/>
      <c r="C72" s="18"/>
      <c r="D72" s="18"/>
      <c r="E72" s="18"/>
      <c r="F72" s="18"/>
      <c r="G72" s="18"/>
      <c r="H72" s="18"/>
      <c r="I72" s="18"/>
    </row>
    <row r="73" customFormat="false" ht="15" hidden="false" customHeight="true" outlineLevel="0" collapsed="false">
      <c r="A73" s="23" t="s">
        <v>493</v>
      </c>
      <c r="B73" s="23"/>
      <c r="C73" s="23"/>
      <c r="D73" s="23"/>
      <c r="E73" s="23"/>
      <c r="F73" s="23"/>
      <c r="G73" s="23"/>
      <c r="H73" s="23"/>
      <c r="I73" s="23"/>
    </row>
    <row r="75" customFormat="false" ht="15" hidden="false" customHeight="true" outlineLevel="0" collapsed="false">
      <c r="A75" s="17" t="s">
        <v>494</v>
      </c>
      <c r="B75" s="18"/>
      <c r="C75" s="18"/>
      <c r="D75" s="18"/>
      <c r="E75" s="18"/>
      <c r="F75" s="18"/>
      <c r="G75" s="18"/>
      <c r="H75" s="18"/>
      <c r="I75" s="18"/>
    </row>
    <row r="76" customFormat="false" ht="26.25" hidden="false" customHeight="true" outlineLevel="0" collapsed="false">
      <c r="A76" s="4" t="s">
        <v>495</v>
      </c>
      <c r="B76" s="4" t="s">
        <v>496</v>
      </c>
      <c r="C76" s="4" t="s">
        <v>287</v>
      </c>
      <c r="D76" s="4" t="s">
        <v>497</v>
      </c>
      <c r="E76" s="4" t="s">
        <v>498</v>
      </c>
      <c r="F76" s="4" t="s">
        <v>499</v>
      </c>
      <c r="G76" s="4"/>
      <c r="H76" s="4"/>
      <c r="I76" s="4" t="s">
        <v>500</v>
      </c>
    </row>
    <row r="77" customFormat="false" ht="51.75" hidden="false" customHeight="true" outlineLevel="0" collapsed="false">
      <c r="A77" s="125" t="s">
        <v>501</v>
      </c>
      <c r="B77" s="125" t="s">
        <v>502</v>
      </c>
      <c r="C77" s="125" t="s">
        <v>503</v>
      </c>
      <c r="D77" s="126" t="s">
        <v>504</v>
      </c>
      <c r="E77" s="126" t="s">
        <v>505</v>
      </c>
      <c r="F77" s="125" t="s">
        <v>506</v>
      </c>
      <c r="G77" s="125"/>
      <c r="H77" s="125"/>
      <c r="I77" s="126" t="s">
        <v>507</v>
      </c>
    </row>
    <row r="78" customFormat="false" ht="51.75" hidden="false" customHeight="true" outlineLevel="0" collapsed="false">
      <c r="A78" s="127" t="s">
        <v>508</v>
      </c>
      <c r="B78" s="127" t="s">
        <v>509</v>
      </c>
      <c r="C78" s="127" t="s">
        <v>510</v>
      </c>
      <c r="D78" s="128" t="s">
        <v>511</v>
      </c>
      <c r="E78" s="128" t="s">
        <v>512</v>
      </c>
      <c r="F78" s="127" t="s">
        <v>513</v>
      </c>
      <c r="G78" s="127"/>
      <c r="H78" s="127"/>
      <c r="I78" s="128" t="s">
        <v>514</v>
      </c>
    </row>
    <row r="79" customFormat="false" ht="51.75" hidden="false" customHeight="true" outlineLevel="0" collapsed="false">
      <c r="A79" s="125" t="s">
        <v>515</v>
      </c>
      <c r="B79" s="125" t="s">
        <v>516</v>
      </c>
      <c r="C79" s="125" t="s">
        <v>517</v>
      </c>
      <c r="D79" s="126" t="s">
        <v>518</v>
      </c>
      <c r="E79" s="126" t="s">
        <v>519</v>
      </c>
      <c r="F79" s="125" t="s">
        <v>520</v>
      </c>
      <c r="G79" s="125"/>
      <c r="H79" s="125"/>
      <c r="I79" s="126" t="s">
        <v>521</v>
      </c>
    </row>
    <row r="80" customFormat="false" ht="51.75" hidden="false" customHeight="true" outlineLevel="0" collapsed="false">
      <c r="A80" s="127" t="s">
        <v>522</v>
      </c>
      <c r="B80" s="127" t="s">
        <v>516</v>
      </c>
      <c r="C80" s="127" t="s">
        <v>523</v>
      </c>
      <c r="D80" s="128" t="s">
        <v>524</v>
      </c>
      <c r="E80" s="128" t="s">
        <v>525</v>
      </c>
      <c r="F80" s="127" t="s">
        <v>526</v>
      </c>
      <c r="G80" s="127"/>
      <c r="H80" s="127"/>
      <c r="I80" s="128" t="s">
        <v>527</v>
      </c>
    </row>
    <row r="81" customFormat="false" ht="51.75" hidden="false" customHeight="true" outlineLevel="0" collapsed="false">
      <c r="A81" s="125" t="s">
        <v>528</v>
      </c>
      <c r="B81" s="125" t="s">
        <v>529</v>
      </c>
      <c r="C81" s="125" t="s">
        <v>530</v>
      </c>
      <c r="D81" s="126" t="s">
        <v>531</v>
      </c>
      <c r="E81" s="126" t="s">
        <v>532</v>
      </c>
      <c r="F81" s="125" t="s">
        <v>533</v>
      </c>
      <c r="G81" s="125"/>
      <c r="H81" s="125"/>
      <c r="I81" s="126" t="s">
        <v>534</v>
      </c>
    </row>
    <row r="82" customFormat="false" ht="51.75" hidden="false" customHeight="true" outlineLevel="0" collapsed="false">
      <c r="A82" s="127" t="s">
        <v>535</v>
      </c>
      <c r="B82" s="127" t="s">
        <v>536</v>
      </c>
      <c r="C82" s="127" t="s">
        <v>537</v>
      </c>
      <c r="D82" s="128" t="s">
        <v>538</v>
      </c>
      <c r="E82" s="128" t="s">
        <v>539</v>
      </c>
      <c r="F82" s="127" t="s">
        <v>540</v>
      </c>
      <c r="G82" s="127"/>
      <c r="H82" s="127"/>
      <c r="I82" s="128" t="s">
        <v>541</v>
      </c>
    </row>
    <row r="85" customFormat="false" ht="15" hidden="false" customHeight="true" outlineLevel="0" collapsed="false">
      <c r="A85" s="17" t="s">
        <v>542</v>
      </c>
      <c r="B85" s="18"/>
      <c r="C85" s="18"/>
      <c r="D85" s="18"/>
      <c r="E85" s="18"/>
      <c r="F85" s="18"/>
      <c r="G85" s="18"/>
      <c r="H85" s="18"/>
      <c r="I85" s="18"/>
    </row>
    <row r="86" customFormat="false" ht="26.25" hidden="false" customHeight="true" outlineLevel="0" collapsed="false">
      <c r="A86" s="4" t="s">
        <v>543</v>
      </c>
      <c r="B86" s="4" t="s">
        <v>544</v>
      </c>
      <c r="C86" s="4" t="s">
        <v>545</v>
      </c>
      <c r="D86" s="4" t="s">
        <v>546</v>
      </c>
      <c r="E86" s="4" t="s">
        <v>547</v>
      </c>
      <c r="F86" s="4" t="s">
        <v>548</v>
      </c>
      <c r="G86" s="4"/>
      <c r="H86" s="4"/>
      <c r="I86" s="4" t="s">
        <v>549</v>
      </c>
    </row>
    <row r="87" customFormat="false" ht="43.5" hidden="false" customHeight="true" outlineLevel="0" collapsed="false">
      <c r="A87" s="125" t="s">
        <v>550</v>
      </c>
      <c r="B87" s="125" t="s">
        <v>551</v>
      </c>
      <c r="C87" s="125" t="s">
        <v>552</v>
      </c>
      <c r="D87" s="125" t="s">
        <v>553</v>
      </c>
      <c r="E87" s="125" t="s">
        <v>554</v>
      </c>
      <c r="F87" s="125" t="s">
        <v>555</v>
      </c>
      <c r="G87" s="125"/>
      <c r="H87" s="125"/>
      <c r="I87" s="126" t="s">
        <v>556</v>
      </c>
    </row>
    <row r="88" customFormat="false" ht="43.5" hidden="false" customHeight="true" outlineLevel="0" collapsed="false">
      <c r="A88" s="127" t="s">
        <v>557</v>
      </c>
      <c r="B88" s="127" t="s">
        <v>535</v>
      </c>
      <c r="C88" s="127" t="s">
        <v>558</v>
      </c>
      <c r="D88" s="127" t="s">
        <v>559</v>
      </c>
      <c r="E88" s="127" t="s">
        <v>560</v>
      </c>
      <c r="F88" s="127" t="s">
        <v>561</v>
      </c>
      <c r="G88" s="127"/>
      <c r="H88" s="127"/>
      <c r="I88" s="128" t="s">
        <v>562</v>
      </c>
    </row>
    <row r="89" customFormat="false" ht="43.5" hidden="false" customHeight="true" outlineLevel="0" collapsed="false">
      <c r="A89" s="125" t="s">
        <v>563</v>
      </c>
      <c r="B89" s="125" t="s">
        <v>508</v>
      </c>
      <c r="C89" s="125" t="s">
        <v>564</v>
      </c>
      <c r="D89" s="125" t="s">
        <v>516</v>
      </c>
      <c r="E89" s="125" t="s">
        <v>554</v>
      </c>
      <c r="F89" s="125" t="s">
        <v>565</v>
      </c>
      <c r="G89" s="125"/>
      <c r="H89" s="125"/>
      <c r="I89" s="126" t="s">
        <v>566</v>
      </c>
    </row>
    <row r="90" customFormat="false" ht="43.5" hidden="false" customHeight="true" outlineLevel="0" collapsed="false">
      <c r="A90" s="127" t="s">
        <v>567</v>
      </c>
      <c r="B90" s="127" t="s">
        <v>568</v>
      </c>
      <c r="C90" s="127" t="s">
        <v>569</v>
      </c>
      <c r="D90" s="127" t="s">
        <v>570</v>
      </c>
      <c r="E90" s="127" t="s">
        <v>571</v>
      </c>
      <c r="F90" s="127" t="s">
        <v>572</v>
      </c>
      <c r="G90" s="127"/>
      <c r="H90" s="127"/>
      <c r="I90" s="128" t="s">
        <v>573</v>
      </c>
    </row>
    <row r="91" customFormat="false" ht="43.5" hidden="false" customHeight="true" outlineLevel="0" collapsed="false">
      <c r="A91" s="125" t="s">
        <v>574</v>
      </c>
      <c r="B91" s="125" t="s">
        <v>575</v>
      </c>
      <c r="C91" s="125" t="s">
        <v>501</v>
      </c>
      <c r="D91" s="125" t="s">
        <v>576</v>
      </c>
      <c r="E91" s="125" t="s">
        <v>577</v>
      </c>
      <c r="F91" s="125" t="s">
        <v>578</v>
      </c>
      <c r="G91" s="125"/>
      <c r="H91" s="125"/>
      <c r="I91" s="126" t="s">
        <v>579</v>
      </c>
    </row>
    <row r="92" customFormat="false" ht="43.5" hidden="false" customHeight="true" outlineLevel="0" collapsed="false">
      <c r="A92" s="127" t="s">
        <v>580</v>
      </c>
      <c r="B92" s="127" t="s">
        <v>581</v>
      </c>
      <c r="C92" s="127" t="s">
        <v>582</v>
      </c>
      <c r="D92" s="127" t="s">
        <v>516</v>
      </c>
      <c r="E92" s="127" t="s">
        <v>583</v>
      </c>
      <c r="F92" s="127" t="s">
        <v>584</v>
      </c>
      <c r="G92" s="127"/>
      <c r="H92" s="127"/>
      <c r="I92" s="128" t="s">
        <v>585</v>
      </c>
    </row>
    <row r="95" customFormat="false" ht="15" hidden="false" customHeight="true" outlineLevel="0" collapsed="false">
      <c r="A95" s="17" t="s">
        <v>586</v>
      </c>
      <c r="B95" s="18"/>
      <c r="C95" s="18"/>
      <c r="D95" s="18"/>
      <c r="E95" s="18"/>
      <c r="F95" s="18"/>
      <c r="G95" s="18"/>
      <c r="H95" s="18"/>
      <c r="I95" s="18"/>
    </row>
    <row r="96" customFormat="false" ht="15" hidden="false" customHeight="true" outlineLevel="0" collapsed="false">
      <c r="A96" s="23" t="s">
        <v>587</v>
      </c>
      <c r="B96" s="23"/>
      <c r="C96" s="23"/>
      <c r="D96" s="23"/>
      <c r="E96" s="23"/>
      <c r="F96" s="23"/>
      <c r="G96" s="23"/>
      <c r="H96" s="23"/>
      <c r="I96" s="23"/>
    </row>
    <row r="97" customFormat="false" ht="39" hidden="false" customHeight="true" outlineLevel="0" collapsed="false">
      <c r="A97" s="4" t="s">
        <v>588</v>
      </c>
      <c r="B97" s="4" t="s">
        <v>495</v>
      </c>
      <c r="C97" s="4" t="s">
        <v>589</v>
      </c>
      <c r="D97" s="4" t="s">
        <v>590</v>
      </c>
      <c r="E97" s="4" t="s">
        <v>591</v>
      </c>
      <c r="F97" s="4" t="s">
        <v>592</v>
      </c>
      <c r="G97" s="4"/>
      <c r="H97" s="4"/>
      <c r="I97" s="4" t="s">
        <v>593</v>
      </c>
    </row>
    <row r="98" customFormat="false" ht="60" hidden="false" customHeight="true" outlineLevel="0" collapsed="false">
      <c r="A98" s="125" t="s">
        <v>594</v>
      </c>
      <c r="B98" s="125" t="s">
        <v>568</v>
      </c>
      <c r="C98" s="126" t="s">
        <v>595</v>
      </c>
      <c r="D98" s="126" t="s">
        <v>596</v>
      </c>
      <c r="E98" s="126" t="s">
        <v>597</v>
      </c>
      <c r="F98" s="125" t="s">
        <v>598</v>
      </c>
      <c r="G98" s="125"/>
      <c r="H98" s="125"/>
      <c r="I98" s="126" t="s">
        <v>599</v>
      </c>
    </row>
    <row r="99" customFormat="false" ht="60" hidden="false" customHeight="true" outlineLevel="0" collapsed="false">
      <c r="A99" s="127" t="s">
        <v>594</v>
      </c>
      <c r="B99" s="127" t="s">
        <v>581</v>
      </c>
      <c r="C99" s="128" t="s">
        <v>600</v>
      </c>
      <c r="D99" s="128" t="s">
        <v>601</v>
      </c>
      <c r="E99" s="128" t="s">
        <v>602</v>
      </c>
      <c r="F99" s="127" t="s">
        <v>603</v>
      </c>
      <c r="G99" s="127"/>
      <c r="H99" s="127"/>
      <c r="I99" s="128" t="s">
        <v>604</v>
      </c>
    </row>
    <row r="100" customFormat="false" ht="60" hidden="false" customHeight="true" outlineLevel="0" collapsed="false">
      <c r="A100" s="125" t="s">
        <v>605</v>
      </c>
      <c r="B100" s="125" t="s">
        <v>606</v>
      </c>
      <c r="C100" s="126" t="s">
        <v>607</v>
      </c>
      <c r="D100" s="126" t="s">
        <v>608</v>
      </c>
      <c r="E100" s="126" t="s">
        <v>609</v>
      </c>
      <c r="F100" s="125" t="s">
        <v>610</v>
      </c>
      <c r="G100" s="125"/>
      <c r="H100" s="125"/>
      <c r="I100" s="126" t="s">
        <v>611</v>
      </c>
    </row>
    <row r="101" customFormat="false" ht="60" hidden="false" customHeight="true" outlineLevel="0" collapsed="false">
      <c r="A101" s="127" t="s">
        <v>612</v>
      </c>
      <c r="B101" s="127" t="s">
        <v>613</v>
      </c>
      <c r="C101" s="128" t="s">
        <v>614</v>
      </c>
      <c r="D101" s="128" t="s">
        <v>615</v>
      </c>
      <c r="E101" s="128" t="s">
        <v>616</v>
      </c>
      <c r="F101" s="127" t="s">
        <v>598</v>
      </c>
      <c r="G101" s="127"/>
      <c r="H101" s="127"/>
      <c r="I101" s="128" t="s">
        <v>617</v>
      </c>
    </row>
    <row r="102" customFormat="false" ht="60" hidden="false" customHeight="true" outlineLevel="0" collapsed="false">
      <c r="A102" s="125" t="s">
        <v>618</v>
      </c>
      <c r="B102" s="125" t="s">
        <v>535</v>
      </c>
      <c r="C102" s="126" t="s">
        <v>619</v>
      </c>
      <c r="D102" s="126" t="s">
        <v>620</v>
      </c>
      <c r="E102" s="126" t="s">
        <v>621</v>
      </c>
      <c r="F102" s="125" t="s">
        <v>598</v>
      </c>
      <c r="G102" s="125"/>
      <c r="H102" s="125"/>
      <c r="I102" s="126" t="s">
        <v>622</v>
      </c>
    </row>
    <row r="103" customFormat="false" ht="60" hidden="false" customHeight="true" outlineLevel="0" collapsed="false">
      <c r="A103" s="127" t="s">
        <v>623</v>
      </c>
      <c r="B103" s="127" t="s">
        <v>624</v>
      </c>
      <c r="C103" s="128" t="s">
        <v>625</v>
      </c>
      <c r="D103" s="128" t="s">
        <v>626</v>
      </c>
      <c r="E103" s="128" t="s">
        <v>627</v>
      </c>
      <c r="F103" s="127" t="s">
        <v>628</v>
      </c>
      <c r="G103" s="127"/>
      <c r="H103" s="127"/>
      <c r="I103" s="128" t="s">
        <v>629</v>
      </c>
    </row>
    <row r="104" customFormat="false" ht="60" hidden="false" customHeight="true" outlineLevel="0" collapsed="false">
      <c r="A104" s="125" t="s">
        <v>630</v>
      </c>
      <c r="B104" s="125" t="s">
        <v>631</v>
      </c>
      <c r="C104" s="126" t="s">
        <v>632</v>
      </c>
      <c r="D104" s="126" t="s">
        <v>633</v>
      </c>
      <c r="E104" s="126" t="s">
        <v>634</v>
      </c>
      <c r="F104" s="125" t="s">
        <v>598</v>
      </c>
      <c r="G104" s="125"/>
      <c r="H104" s="125"/>
      <c r="I104" s="126" t="s">
        <v>635</v>
      </c>
    </row>
    <row r="105" customFormat="false" ht="60" hidden="false" customHeight="true" outlineLevel="0" collapsed="false">
      <c r="A105" s="127" t="s">
        <v>636</v>
      </c>
      <c r="B105" s="127" t="s">
        <v>637</v>
      </c>
      <c r="C105" s="128" t="s">
        <v>638</v>
      </c>
      <c r="D105" s="128" t="s">
        <v>639</v>
      </c>
      <c r="E105" s="128" t="s">
        <v>640</v>
      </c>
      <c r="F105" s="127" t="s">
        <v>603</v>
      </c>
      <c r="G105" s="127"/>
      <c r="H105" s="127"/>
      <c r="I105" s="128" t="s">
        <v>641</v>
      </c>
    </row>
    <row r="108" customFormat="false" ht="15" hidden="false" customHeight="true" outlineLevel="0" collapsed="false">
      <c r="A108" s="17" t="s">
        <v>414</v>
      </c>
      <c r="B108" s="18"/>
      <c r="C108" s="18"/>
      <c r="D108" s="18"/>
      <c r="E108" s="18"/>
      <c r="F108" s="18"/>
      <c r="G108" s="18"/>
      <c r="H108" s="18"/>
      <c r="I108" s="18"/>
    </row>
    <row r="109" customFormat="false" ht="69.75" hidden="false" customHeight="true" outlineLevel="0" collapsed="false">
      <c r="A109" s="129" t="s">
        <v>642</v>
      </c>
      <c r="B109" s="129"/>
      <c r="C109" s="129"/>
      <c r="D109" s="129"/>
      <c r="E109" s="129"/>
      <c r="F109" s="129"/>
      <c r="G109" s="129"/>
      <c r="H109" s="129"/>
      <c r="I109" s="129"/>
    </row>
    <row r="111" customFormat="false" ht="43.5" hidden="false" customHeight="true" outlineLevel="0" collapsed="false">
      <c r="A111" s="130" t="s">
        <v>643</v>
      </c>
      <c r="B111" s="130"/>
      <c r="C111" s="130"/>
      <c r="D111" s="130"/>
      <c r="E111" s="130"/>
      <c r="F111" s="130"/>
      <c r="G111" s="130"/>
      <c r="H111" s="130"/>
      <c r="I111" s="130"/>
    </row>
  </sheetData>
  <mergeCells count="4">
    <mergeCell ref="A73:I73"/>
    <mergeCell ref="A96:I96"/>
    <mergeCell ref="A109:I109"/>
    <mergeCell ref="A111:I11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2026-03-07T19:10:05Z</dcterms:created>
  <dc:creator>openpyxl</dc:creator>
  <dc:description/>
  <dc:language>en-US</dc:language>
  <cp:lastModifiedBy/>
  <dcterms:modified xsi:type="dcterms:W3CDTF">2026-03-19T02:42:05Z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